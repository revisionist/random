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ORIA/Personal/Misc/KWCC TdZ/2025/"/>
    </mc:Choice>
  </mc:AlternateContent>
  <xr:revisionPtr revIDLastSave="0" documentId="13_ncr:1_{1DB855B5-5C80-C443-9328-0DB16388B5C0}" xr6:coauthVersionLast="47" xr6:coauthVersionMax="47" xr10:uidLastSave="{00000000-0000-0000-0000-000000000000}"/>
  <bookViews>
    <workbookView xWindow="5080" yWindow="3100" windowWidth="53840" windowHeight="27780" activeTab="2" xr2:uid="{00000000-000D-0000-FFFF-FFFF00000000}"/>
  </bookViews>
  <sheets>
    <sheet name="Stage Data - A" sheetId="2" r:id="rId1"/>
    <sheet name="Handicaps" sheetId="3" r:id="rId2"/>
    <sheet name="Results - A" sheetId="4" r:id="rId3"/>
  </sheets>
  <definedNames>
    <definedName name="CAP_A">Handicaps!#REF!</definedName>
    <definedName name="CAP_B">Handicaps!$B$7</definedName>
    <definedName name="HDCP_GRP_A1">Handicaps!#REF!</definedName>
    <definedName name="HDCP_GRP_A2">Handicaps!#REF!</definedName>
    <definedName name="HDCP_GRP_A3">Handicaps!#REF!</definedName>
    <definedName name="HDCP_GRP_A4">Handicaps!#REF!</definedName>
    <definedName name="HDCP_GRP_B1">Handicaps!$B$2</definedName>
    <definedName name="HDCP_GRP_B2">Handicaps!$B$3</definedName>
    <definedName name="HDCP_GRP_B3">Handicaps!$B$4</definedName>
    <definedName name="HDCP_GRP_B4">Handicaps!$B$5</definedName>
    <definedName name="HDCP_V_B1">Handicaps!$C$2</definedName>
    <definedName name="HDCP_V_B2">Handicaps!$C$3</definedName>
    <definedName name="HDCP_V_B3">Handicaps!$C$4</definedName>
    <definedName name="HDCP_V_B4">Handicaps!$C$5</definedName>
    <definedName name="POINTS_CAP_A">Handicaps!#REF!</definedName>
    <definedName name="POINTS_CAP_B">Handicaps!$C$7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4" i="2" l="1"/>
  <c r="AJ34" i="2"/>
  <c r="AK33" i="2"/>
  <c r="AJ33" i="2"/>
  <c r="AK32" i="2"/>
  <c r="AJ32" i="2"/>
  <c r="AK31" i="2"/>
  <c r="AJ31" i="2"/>
  <c r="AK30" i="2"/>
  <c r="AJ30" i="2"/>
  <c r="AL30" i="2" s="1"/>
  <c r="AK29" i="2"/>
  <c r="AJ29" i="2"/>
  <c r="AK28" i="2"/>
  <c r="AJ28" i="2"/>
  <c r="AK27" i="2"/>
  <c r="AJ27" i="2"/>
  <c r="AK26" i="2"/>
  <c r="AJ26" i="2"/>
  <c r="AL26" i="2" s="1"/>
  <c r="AK25" i="2"/>
  <c r="AJ25" i="2"/>
  <c r="AL25" i="2" s="1"/>
  <c r="AK24" i="2"/>
  <c r="AJ24" i="2"/>
  <c r="AK23" i="2"/>
  <c r="AJ23" i="2"/>
  <c r="AK22" i="2"/>
  <c r="AJ22" i="2"/>
  <c r="AL22" i="2" s="1"/>
  <c r="AK21" i="2"/>
  <c r="AJ21" i="2"/>
  <c r="AK20" i="2"/>
  <c r="AJ20" i="2"/>
  <c r="AL20" i="2" s="1"/>
  <c r="AK19" i="2"/>
  <c r="AJ19" i="2"/>
  <c r="AK18" i="2"/>
  <c r="AJ18" i="2"/>
  <c r="AK17" i="2"/>
  <c r="AJ17" i="2"/>
  <c r="AK16" i="2"/>
  <c r="AJ16" i="2"/>
  <c r="AL16" i="2" s="1"/>
  <c r="AK15" i="2"/>
  <c r="AJ15" i="2"/>
  <c r="AL15" i="2" s="1"/>
  <c r="AK14" i="2"/>
  <c r="AJ14" i="2"/>
  <c r="AK13" i="2"/>
  <c r="AJ13" i="2"/>
  <c r="AK12" i="2"/>
  <c r="AJ12" i="2"/>
  <c r="AL12" i="2" s="1"/>
  <c r="AK11" i="2"/>
  <c r="AJ11" i="2"/>
  <c r="AK10" i="2"/>
  <c r="AJ10" i="2"/>
  <c r="AL10" i="2" s="1"/>
  <c r="AK9" i="2"/>
  <c r="AJ9" i="2"/>
  <c r="AL9" i="2" s="1"/>
  <c r="AK8" i="2"/>
  <c r="AJ8" i="2"/>
  <c r="AK7" i="2"/>
  <c r="AJ7" i="2"/>
  <c r="AK6" i="2"/>
  <c r="AJ6" i="2"/>
  <c r="AL6" i="2" s="1"/>
  <c r="AK5" i="2"/>
  <c r="AJ5" i="2"/>
  <c r="AL5" i="2" s="1"/>
  <c r="AE34" i="2"/>
  <c r="AD34" i="2"/>
  <c r="AF34" i="2" s="1"/>
  <c r="Y34" i="2"/>
  <c r="X34" i="2"/>
  <c r="AE33" i="2"/>
  <c r="AD33" i="2"/>
  <c r="AF33" i="2" s="1"/>
  <c r="Y33" i="2"/>
  <c r="X33" i="2"/>
  <c r="AE32" i="2"/>
  <c r="AD32" i="2"/>
  <c r="AF32" i="2" s="1"/>
  <c r="Y32" i="2"/>
  <c r="X32" i="2"/>
  <c r="Z32" i="2" s="1"/>
  <c r="AE31" i="2"/>
  <c r="AD31" i="2"/>
  <c r="Y31" i="2"/>
  <c r="X31" i="2"/>
  <c r="Z31" i="2" s="1"/>
  <c r="AE30" i="2"/>
  <c r="AD30" i="2"/>
  <c r="AF30" i="2" s="1"/>
  <c r="Y30" i="2"/>
  <c r="X30" i="2"/>
  <c r="Z30" i="2" s="1"/>
  <c r="AE29" i="2"/>
  <c r="AD29" i="2"/>
  <c r="AF29" i="2" s="1"/>
  <c r="Y29" i="2"/>
  <c r="X29" i="2"/>
  <c r="AE28" i="2"/>
  <c r="AD28" i="2"/>
  <c r="AF28" i="2" s="1"/>
  <c r="Y28" i="2"/>
  <c r="X28" i="2"/>
  <c r="AE27" i="2"/>
  <c r="AD27" i="2"/>
  <c r="AF27" i="2" s="1"/>
  <c r="Y27" i="2"/>
  <c r="X27" i="2"/>
  <c r="Z27" i="2" s="1"/>
  <c r="AE26" i="2"/>
  <c r="AD26" i="2"/>
  <c r="Y26" i="2"/>
  <c r="X26" i="2"/>
  <c r="Z26" i="2" s="1"/>
  <c r="AE25" i="2"/>
  <c r="AD25" i="2"/>
  <c r="AF25" i="2" s="1"/>
  <c r="Y25" i="2"/>
  <c r="X25" i="2"/>
  <c r="Z25" i="2" s="1"/>
  <c r="AE24" i="2"/>
  <c r="AD24" i="2"/>
  <c r="AF24" i="2" s="1"/>
  <c r="Y24" i="2"/>
  <c r="X24" i="2"/>
  <c r="AE23" i="2"/>
  <c r="AD23" i="2"/>
  <c r="AF23" i="2" s="1"/>
  <c r="Y23" i="2"/>
  <c r="X23" i="2"/>
  <c r="AE22" i="2"/>
  <c r="AD22" i="2"/>
  <c r="AF22" i="2" s="1"/>
  <c r="Y22" i="2"/>
  <c r="X22" i="2"/>
  <c r="Z22" i="2" s="1"/>
  <c r="AE21" i="2"/>
  <c r="AD21" i="2"/>
  <c r="Y21" i="2"/>
  <c r="X21" i="2"/>
  <c r="Z21" i="2" s="1"/>
  <c r="AE20" i="2"/>
  <c r="AD20" i="2"/>
  <c r="AF20" i="2" s="1"/>
  <c r="Y20" i="2"/>
  <c r="X20" i="2"/>
  <c r="Z20" i="2" s="1"/>
  <c r="AE19" i="2"/>
  <c r="AD19" i="2"/>
  <c r="AF19" i="2" s="1"/>
  <c r="Y19" i="2"/>
  <c r="X19" i="2"/>
  <c r="AE18" i="2"/>
  <c r="AD18" i="2"/>
  <c r="AF18" i="2" s="1"/>
  <c r="Y18" i="2"/>
  <c r="X18" i="2"/>
  <c r="AE17" i="2"/>
  <c r="AD17" i="2"/>
  <c r="AF17" i="2" s="1"/>
  <c r="Y17" i="2"/>
  <c r="X17" i="2"/>
  <c r="Z17" i="2" s="1"/>
  <c r="AF16" i="2"/>
  <c r="AE16" i="2"/>
  <c r="AD16" i="2"/>
  <c r="Y16" i="2"/>
  <c r="X16" i="2"/>
  <c r="AE15" i="2"/>
  <c r="AD15" i="2"/>
  <c r="AF15" i="2" s="1"/>
  <c r="Y15" i="2"/>
  <c r="X15" i="2"/>
  <c r="AE14" i="2"/>
  <c r="AD14" i="2"/>
  <c r="AF14" i="2" s="1"/>
  <c r="Y14" i="2"/>
  <c r="X14" i="2"/>
  <c r="Z14" i="2" s="1"/>
  <c r="AE13" i="2"/>
  <c r="AD13" i="2"/>
  <c r="Y13" i="2"/>
  <c r="X13" i="2"/>
  <c r="AE12" i="2"/>
  <c r="AD12" i="2"/>
  <c r="Y12" i="2"/>
  <c r="X12" i="2"/>
  <c r="Z12" i="2" s="1"/>
  <c r="AE11" i="2"/>
  <c r="AD11" i="2"/>
  <c r="AF11" i="2" s="1"/>
  <c r="Y11" i="2"/>
  <c r="X11" i="2"/>
  <c r="AE10" i="2"/>
  <c r="AD10" i="2"/>
  <c r="AF10" i="2" s="1"/>
  <c r="Y10" i="2"/>
  <c r="X10" i="2"/>
  <c r="AE9" i="2"/>
  <c r="AD9" i="2"/>
  <c r="Y9" i="2"/>
  <c r="X9" i="2"/>
  <c r="Z9" i="2" s="1"/>
  <c r="AE8" i="2"/>
  <c r="AD8" i="2"/>
  <c r="Y8" i="2"/>
  <c r="X8" i="2"/>
  <c r="AE7" i="2"/>
  <c r="AD7" i="2"/>
  <c r="Y7" i="2"/>
  <c r="X7" i="2"/>
  <c r="Z7" i="2" s="1"/>
  <c r="AE6" i="2"/>
  <c r="AD6" i="2"/>
  <c r="AF6" i="2" s="1"/>
  <c r="Y6" i="2"/>
  <c r="X6" i="2"/>
  <c r="AE5" i="2"/>
  <c r="AD5" i="2"/>
  <c r="AF5" i="2" s="1"/>
  <c r="Y5" i="2"/>
  <c r="X5" i="2"/>
  <c r="S34" i="2"/>
  <c r="R34" i="2"/>
  <c r="T34" i="2" s="1"/>
  <c r="S33" i="2"/>
  <c r="R33" i="2"/>
  <c r="S32" i="2"/>
  <c r="R32" i="2"/>
  <c r="S31" i="2"/>
  <c r="R31" i="2"/>
  <c r="T31" i="2" s="1"/>
  <c r="S30" i="2"/>
  <c r="R30" i="2"/>
  <c r="S29" i="2"/>
  <c r="R29" i="2"/>
  <c r="T29" i="2" s="1"/>
  <c r="S28" i="2"/>
  <c r="R28" i="2"/>
  <c r="T28" i="2" s="1"/>
  <c r="S27" i="2"/>
  <c r="R27" i="2"/>
  <c r="S26" i="2"/>
  <c r="R26" i="2"/>
  <c r="T26" i="2" s="1"/>
  <c r="S25" i="2"/>
  <c r="R25" i="2"/>
  <c r="S24" i="2"/>
  <c r="R24" i="2"/>
  <c r="T24" i="2" s="1"/>
  <c r="S23" i="2"/>
  <c r="R23" i="2"/>
  <c r="T23" i="2" s="1"/>
  <c r="S22" i="2"/>
  <c r="R22" i="2"/>
  <c r="S21" i="2"/>
  <c r="R21" i="2"/>
  <c r="T21" i="2" s="1"/>
  <c r="S20" i="2"/>
  <c r="R20" i="2"/>
  <c r="S19" i="2"/>
  <c r="R19" i="2"/>
  <c r="T19" i="2" s="1"/>
  <c r="S18" i="2"/>
  <c r="R18" i="2"/>
  <c r="T18" i="2" s="1"/>
  <c r="S17" i="2"/>
  <c r="R17" i="2"/>
  <c r="S16" i="2"/>
  <c r="R16" i="2"/>
  <c r="T16" i="2" s="1"/>
  <c r="S15" i="2"/>
  <c r="R15" i="2"/>
  <c r="S14" i="2"/>
  <c r="R14" i="2"/>
  <c r="T14" i="2" s="1"/>
  <c r="S13" i="2"/>
  <c r="R13" i="2"/>
  <c r="T13" i="2" s="1"/>
  <c r="S12" i="2"/>
  <c r="R12" i="2"/>
  <c r="S11" i="2"/>
  <c r="R11" i="2"/>
  <c r="T11" i="2" s="1"/>
  <c r="S10" i="2"/>
  <c r="R10" i="2"/>
  <c r="S9" i="2"/>
  <c r="R9" i="2"/>
  <c r="T9" i="2" s="1"/>
  <c r="S8" i="2"/>
  <c r="R8" i="2"/>
  <c r="T8" i="2" s="1"/>
  <c r="S7" i="2"/>
  <c r="R7" i="2"/>
  <c r="T7" i="2" s="1"/>
  <c r="S6" i="2"/>
  <c r="R6" i="2"/>
  <c r="T6" i="2" s="1"/>
  <c r="S5" i="2"/>
  <c r="R5" i="2"/>
  <c r="M34" i="2"/>
  <c r="L34" i="2"/>
  <c r="M33" i="2"/>
  <c r="L33" i="2"/>
  <c r="M32" i="2"/>
  <c r="L32" i="2"/>
  <c r="M31" i="2"/>
  <c r="L31" i="2"/>
  <c r="N31" i="2" s="1"/>
  <c r="M30" i="2"/>
  <c r="L30" i="2"/>
  <c r="M29" i="2"/>
  <c r="L29" i="2"/>
  <c r="M28" i="2"/>
  <c r="L28" i="2"/>
  <c r="M27" i="2"/>
  <c r="L27" i="2"/>
  <c r="N27" i="2" s="1"/>
  <c r="M26" i="2"/>
  <c r="L26" i="2"/>
  <c r="N26" i="2" s="1"/>
  <c r="M25" i="2"/>
  <c r="L25" i="2"/>
  <c r="M24" i="2"/>
  <c r="L24" i="2"/>
  <c r="M23" i="2"/>
  <c r="L23" i="2"/>
  <c r="M22" i="2"/>
  <c r="L22" i="2"/>
  <c r="N22" i="2" s="1"/>
  <c r="M21" i="2"/>
  <c r="L21" i="2"/>
  <c r="N21" i="2" s="1"/>
  <c r="M20" i="2"/>
  <c r="L20" i="2"/>
  <c r="M19" i="2"/>
  <c r="L19" i="2"/>
  <c r="M18" i="2"/>
  <c r="L18" i="2"/>
  <c r="M17" i="2"/>
  <c r="L17" i="2"/>
  <c r="N17" i="2" s="1"/>
  <c r="M16" i="2"/>
  <c r="L16" i="2"/>
  <c r="N16" i="2" s="1"/>
  <c r="M15" i="2"/>
  <c r="L15" i="2"/>
  <c r="M14" i="2"/>
  <c r="L14" i="2"/>
  <c r="M13" i="2"/>
  <c r="L13" i="2"/>
  <c r="M12" i="2"/>
  <c r="L12" i="2"/>
  <c r="M11" i="2"/>
  <c r="L11" i="2"/>
  <c r="N11" i="2" s="1"/>
  <c r="M10" i="2"/>
  <c r="L10" i="2"/>
  <c r="M9" i="2"/>
  <c r="L9" i="2"/>
  <c r="M8" i="2"/>
  <c r="L8" i="2"/>
  <c r="M7" i="2"/>
  <c r="L7" i="2"/>
  <c r="N7" i="2" s="1"/>
  <c r="M6" i="2"/>
  <c r="L6" i="2"/>
  <c r="N6" i="2" s="1"/>
  <c r="M5" i="2"/>
  <c r="L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F6" i="2"/>
  <c r="H6" i="2" s="1"/>
  <c r="F7" i="2"/>
  <c r="H7" i="2" s="1"/>
  <c r="F8" i="2"/>
  <c r="F9" i="2"/>
  <c r="H9" i="2" s="1"/>
  <c r="F10" i="2"/>
  <c r="F11" i="2"/>
  <c r="F12" i="2"/>
  <c r="F13" i="2"/>
  <c r="F14" i="2"/>
  <c r="H14" i="2" s="1"/>
  <c r="F15" i="2"/>
  <c r="H15" i="2" s="1"/>
  <c r="F16" i="2"/>
  <c r="H16" i="2" s="1"/>
  <c r="F17" i="2"/>
  <c r="H17" i="2" s="1"/>
  <c r="F18" i="2"/>
  <c r="F19" i="2"/>
  <c r="H19" i="2" s="1"/>
  <c r="F20" i="2"/>
  <c r="H20" i="2" s="1"/>
  <c r="F21" i="2"/>
  <c r="H21" i="2" s="1"/>
  <c r="F22" i="2"/>
  <c r="F23" i="2"/>
  <c r="F24" i="2"/>
  <c r="F25" i="2"/>
  <c r="H25" i="2" s="1"/>
  <c r="F26" i="2"/>
  <c r="H26" i="2" s="1"/>
  <c r="F27" i="2"/>
  <c r="H27" i="2" s="1"/>
  <c r="F28" i="2"/>
  <c r="H28" i="2" s="1"/>
  <c r="F29" i="2"/>
  <c r="F30" i="2"/>
  <c r="H30" i="2" s="1"/>
  <c r="F31" i="2"/>
  <c r="F32" i="2"/>
  <c r="F33" i="2"/>
  <c r="F34" i="2"/>
  <c r="H34" i="2" s="1"/>
  <c r="F5" i="2"/>
  <c r="T17" i="2" l="1"/>
  <c r="T27" i="2"/>
  <c r="Z6" i="2"/>
  <c r="AF8" i="2"/>
  <c r="Z11" i="2"/>
  <c r="AF13" i="2"/>
  <c r="Z16" i="2"/>
  <c r="Z18" i="2"/>
  <c r="Z23" i="2"/>
  <c r="Z28" i="2"/>
  <c r="Z33" i="2"/>
  <c r="AL32" i="2"/>
  <c r="Z19" i="2"/>
  <c r="AF21" i="2"/>
  <c r="Z24" i="2"/>
  <c r="AF26" i="2"/>
  <c r="Z29" i="2"/>
  <c r="AF31" i="2"/>
  <c r="Z34" i="2"/>
  <c r="AL8" i="2"/>
  <c r="AL13" i="2"/>
  <c r="AL18" i="2"/>
  <c r="AL23" i="2"/>
  <c r="AL28" i="2"/>
  <c r="AL33" i="2"/>
  <c r="AF9" i="2"/>
  <c r="AL14" i="2"/>
  <c r="AL19" i="2"/>
  <c r="AL24" i="2"/>
  <c r="AL29" i="2"/>
  <c r="AL34" i="2"/>
  <c r="T5" i="2"/>
  <c r="T10" i="2"/>
  <c r="T15" i="2"/>
  <c r="T20" i="2"/>
  <c r="T25" i="2"/>
  <c r="T30" i="2"/>
  <c r="Z5" i="2"/>
  <c r="Z10" i="2"/>
  <c r="AD4" i="4" s="1" a="1"/>
  <c r="AF12" i="2"/>
  <c r="AL4" i="4" s="1" a="1"/>
  <c r="Z15" i="2"/>
  <c r="T22" i="2"/>
  <c r="Z8" i="2"/>
  <c r="AL17" i="2"/>
  <c r="AF7" i="2"/>
  <c r="Z13" i="2"/>
  <c r="T12" i="2"/>
  <c r="AL21" i="2"/>
  <c r="AO21" i="2" s="1"/>
  <c r="T32" i="2"/>
  <c r="T33" i="2"/>
  <c r="V4" i="4" s="1" a="1"/>
  <c r="AL31" i="2"/>
  <c r="AL27" i="2"/>
  <c r="AL7" i="2"/>
  <c r="AL11" i="2"/>
  <c r="H23" i="2"/>
  <c r="H29" i="2"/>
  <c r="H32" i="2"/>
  <c r="H13" i="2"/>
  <c r="N5" i="2"/>
  <c r="N10" i="2"/>
  <c r="N15" i="2"/>
  <c r="AO15" i="2" s="1"/>
  <c r="N25" i="2"/>
  <c r="N30" i="2"/>
  <c r="N13" i="2"/>
  <c r="N23" i="2"/>
  <c r="H5" i="2"/>
  <c r="H24" i="2"/>
  <c r="H12" i="2"/>
  <c r="H8" i="2"/>
  <c r="H33" i="2"/>
  <c r="AN10" i="2"/>
  <c r="AN31" i="2"/>
  <c r="H22" i="2"/>
  <c r="AO22" i="2" s="1"/>
  <c r="AO7" i="2"/>
  <c r="AN9" i="2"/>
  <c r="H11" i="2"/>
  <c r="AO11" i="2" s="1"/>
  <c r="H18" i="2"/>
  <c r="AO27" i="2"/>
  <c r="AO16" i="2"/>
  <c r="AO26" i="2"/>
  <c r="AO17" i="2"/>
  <c r="AO6" i="2"/>
  <c r="AN5" i="2"/>
  <c r="AN25" i="2"/>
  <c r="AN15" i="2"/>
  <c r="AN34" i="2"/>
  <c r="AN24" i="2"/>
  <c r="AN14" i="2"/>
  <c r="AN33" i="2"/>
  <c r="AN23" i="2"/>
  <c r="AN13" i="2"/>
  <c r="AN21" i="2"/>
  <c r="AN11" i="2"/>
  <c r="AN12" i="2"/>
  <c r="AN28" i="2"/>
  <c r="AN18" i="2"/>
  <c r="AN8" i="2"/>
  <c r="AN30" i="2"/>
  <c r="AN19" i="2"/>
  <c r="AN27" i="2"/>
  <c r="AN17" i="2"/>
  <c r="AN7" i="2"/>
  <c r="AN32" i="2"/>
  <c r="AN22" i="2"/>
  <c r="AN20" i="2"/>
  <c r="AN29" i="2"/>
  <c r="AN26" i="2"/>
  <c r="AN16" i="2"/>
  <c r="AN6" i="2"/>
  <c r="H31" i="2"/>
  <c r="H10" i="2"/>
  <c r="N32" i="2"/>
  <c r="N12" i="2"/>
  <c r="N14" i="2"/>
  <c r="N24" i="2"/>
  <c r="N20" i="2"/>
  <c r="AO20" i="2" s="1"/>
  <c r="N33" i="2"/>
  <c r="N8" i="2"/>
  <c r="N18" i="2"/>
  <c r="N29" i="2"/>
  <c r="AO29" i="2" s="1"/>
  <c r="N28" i="2"/>
  <c r="N34" i="2"/>
  <c r="N9" i="2"/>
  <c r="AO9" i="2" s="1"/>
  <c r="N19" i="2"/>
  <c r="AD4" i="4" l="1"/>
  <c r="AC6" i="4" a="1"/>
  <c r="AC6" i="4" s="1"/>
  <c r="AC32" i="4" a="1"/>
  <c r="AC32" i="4" s="1"/>
  <c r="AC21" i="4" a="1"/>
  <c r="AC21" i="4" s="1"/>
  <c r="AC22" i="4" a="1"/>
  <c r="AC22" i="4" s="1"/>
  <c r="AC10" i="4" a="1"/>
  <c r="AC10" i="4" s="1"/>
  <c r="AC7" i="4" a="1"/>
  <c r="AC7" i="4" s="1"/>
  <c r="AC13" i="4" a="1"/>
  <c r="AC13" i="4" s="1"/>
  <c r="AC19" i="4" a="1"/>
  <c r="AC19" i="4" s="1"/>
  <c r="AC25" i="4" a="1"/>
  <c r="AC25" i="4" s="1"/>
  <c r="AC33" i="4" a="1"/>
  <c r="AC33" i="4" s="1"/>
  <c r="AC28" i="4" a="1"/>
  <c r="AC28" i="4" s="1"/>
  <c r="AC9" i="4" a="1"/>
  <c r="AC9" i="4" s="1"/>
  <c r="AC16" i="4" a="1"/>
  <c r="AC16" i="4" s="1"/>
  <c r="AC17" i="4" a="1"/>
  <c r="AC17" i="4" s="1"/>
  <c r="AC26" i="4" a="1"/>
  <c r="AC26" i="4" s="1"/>
  <c r="AC4" i="4" a="1"/>
  <c r="AC4" i="4" s="1"/>
  <c r="AC8" i="4" a="1"/>
  <c r="AC8" i="4" s="1"/>
  <c r="AC14" i="4" a="1"/>
  <c r="AC14" i="4" s="1"/>
  <c r="AC20" i="4" a="1"/>
  <c r="AC20" i="4" s="1"/>
  <c r="AC27" i="4" a="1"/>
  <c r="AC27" i="4" s="1"/>
  <c r="AC15" i="4" a="1"/>
  <c r="AC15" i="4" s="1"/>
  <c r="AC29" i="4" a="1"/>
  <c r="AC29" i="4" s="1"/>
  <c r="AC23" i="4" a="1"/>
  <c r="AC23" i="4" s="1"/>
  <c r="AC18" i="4" a="1"/>
  <c r="AC18" i="4" s="1"/>
  <c r="AC24" i="4" a="1"/>
  <c r="AC24" i="4" s="1"/>
  <c r="AC12" i="4" a="1"/>
  <c r="AC12" i="4" s="1"/>
  <c r="AC30" i="4" a="1"/>
  <c r="AC30" i="4" s="1"/>
  <c r="AC31" i="4" a="1"/>
  <c r="AC31" i="4" s="1"/>
  <c r="AC5" i="4" a="1"/>
  <c r="AC5" i="4" s="1"/>
  <c r="AC11" i="4" a="1"/>
  <c r="AC11" i="4" s="1"/>
  <c r="AL4" i="4"/>
  <c r="AK9" i="4" a="1"/>
  <c r="AK9" i="4" s="1"/>
  <c r="AK15" i="4" a="1"/>
  <c r="AK15" i="4" s="1"/>
  <c r="AK22" i="4" a="1"/>
  <c r="AK22" i="4" s="1"/>
  <c r="AK28" i="4" a="1"/>
  <c r="AK28" i="4" s="1"/>
  <c r="AK5" i="4" a="1"/>
  <c r="AK5" i="4" s="1"/>
  <c r="AK24" i="4" a="1"/>
  <c r="AK24" i="4" s="1"/>
  <c r="AK19" i="4" a="1"/>
  <c r="AK19" i="4" s="1"/>
  <c r="AK8" i="4" a="1"/>
  <c r="AK8" i="4" s="1"/>
  <c r="AK16" i="4" a="1"/>
  <c r="AK16" i="4" s="1"/>
  <c r="AK29" i="4" a="1"/>
  <c r="AK29" i="4" s="1"/>
  <c r="AK18" i="4" a="1"/>
  <c r="AK18" i="4" s="1"/>
  <c r="AK6" i="4" a="1"/>
  <c r="AK6" i="4" s="1"/>
  <c r="AK7" i="4" a="1"/>
  <c r="AK7" i="4" s="1"/>
  <c r="AK25" i="4" a="1"/>
  <c r="AK25" i="4" s="1"/>
  <c r="AK10" i="4" a="1"/>
  <c r="AK10" i="4" s="1"/>
  <c r="AK17" i="4" a="1"/>
  <c r="AK17" i="4" s="1"/>
  <c r="AK23" i="4" a="1"/>
  <c r="AK23" i="4" s="1"/>
  <c r="AK30" i="4" a="1"/>
  <c r="AK30" i="4" s="1"/>
  <c r="AK11" i="4" a="1"/>
  <c r="AK11" i="4" s="1"/>
  <c r="AK31" i="4" a="1"/>
  <c r="AK31" i="4" s="1"/>
  <c r="AK12" i="4" a="1"/>
  <c r="AK12" i="4" s="1"/>
  <c r="AK32" i="4" a="1"/>
  <c r="AK32" i="4" s="1"/>
  <c r="AK13" i="4" a="1"/>
  <c r="AK13" i="4" s="1"/>
  <c r="AK33" i="4" a="1"/>
  <c r="AK33" i="4" s="1"/>
  <c r="AK26" i="4" a="1"/>
  <c r="AK26" i="4" s="1"/>
  <c r="AK14" i="4" a="1"/>
  <c r="AK14" i="4" s="1"/>
  <c r="AK27" i="4" a="1"/>
  <c r="AK27" i="4" s="1"/>
  <c r="AK20" i="4" a="1"/>
  <c r="AK20" i="4" s="1"/>
  <c r="AK21" i="4" a="1"/>
  <c r="AK21" i="4" s="1"/>
  <c r="AK4" i="4" a="1"/>
  <c r="AK4" i="4" s="1"/>
  <c r="AO30" i="2"/>
  <c r="AO23" i="2"/>
  <c r="AO19" i="2"/>
  <c r="AO34" i="2"/>
  <c r="AO25" i="2"/>
  <c r="V4" i="4"/>
  <c r="U11" i="4" a="1"/>
  <c r="U11" i="4" s="1"/>
  <c r="U26" i="4" a="1"/>
  <c r="U26" i="4" s="1"/>
  <c r="U12" i="4" a="1"/>
  <c r="U12" i="4" s="1"/>
  <c r="U27" i="4" a="1"/>
  <c r="U27" i="4" s="1"/>
  <c r="U9" i="4" a="1"/>
  <c r="U9" i="4" s="1"/>
  <c r="U14" i="4" a="1"/>
  <c r="U14" i="4" s="1"/>
  <c r="U19" i="4" a="1"/>
  <c r="U19" i="4" s="1"/>
  <c r="U24" i="4" a="1"/>
  <c r="U24" i="4" s="1"/>
  <c r="U29" i="4" a="1"/>
  <c r="U29" i="4" s="1"/>
  <c r="U4" i="4" a="1"/>
  <c r="U4" i="4" s="1"/>
  <c r="U16" i="4" a="1"/>
  <c r="U16" i="4" s="1"/>
  <c r="U31" i="4" a="1"/>
  <c r="U31" i="4" s="1"/>
  <c r="U7" i="4" a="1"/>
  <c r="U7" i="4" s="1"/>
  <c r="U22" i="4" a="1"/>
  <c r="U22" i="4" s="1"/>
  <c r="U5" i="4" a="1"/>
  <c r="U5" i="4" s="1"/>
  <c r="U10" i="4" a="1"/>
  <c r="U10" i="4" s="1"/>
  <c r="U15" i="4" a="1"/>
  <c r="U15" i="4" s="1"/>
  <c r="U20" i="4" a="1"/>
  <c r="U20" i="4" s="1"/>
  <c r="U25" i="4" a="1"/>
  <c r="U25" i="4" s="1"/>
  <c r="U30" i="4" a="1"/>
  <c r="U30" i="4" s="1"/>
  <c r="U6" i="4" a="1"/>
  <c r="U6" i="4" s="1"/>
  <c r="U21" i="4" a="1"/>
  <c r="U21" i="4" s="1"/>
  <c r="U17" i="4" a="1"/>
  <c r="U17" i="4" s="1"/>
  <c r="U32" i="4" a="1"/>
  <c r="U32" i="4" s="1"/>
  <c r="U18" i="4" a="1"/>
  <c r="U18" i="4" s="1"/>
  <c r="U13" i="4" a="1"/>
  <c r="U13" i="4" s="1"/>
  <c r="U23" i="4" a="1"/>
  <c r="U23" i="4" s="1"/>
  <c r="U28" i="4" a="1"/>
  <c r="U28" i="4" s="1"/>
  <c r="U8" i="4" a="1"/>
  <c r="U8" i="4" s="1"/>
  <c r="U33" i="4" a="1"/>
  <c r="U33" i="4" s="1"/>
  <c r="AO14" i="2"/>
  <c r="AO28" i="2"/>
  <c r="AT4" i="4" a="1"/>
  <c r="AO31" i="2"/>
  <c r="AO8" i="2"/>
  <c r="N4" i="4" a="1"/>
  <c r="AO32" i="2"/>
  <c r="AO13" i="2"/>
  <c r="F4" i="4" a="1"/>
  <c r="AO33" i="2"/>
  <c r="AO12" i="2"/>
  <c r="AO10" i="2"/>
  <c r="AO5" i="2"/>
  <c r="AO24" i="2"/>
  <c r="AO18" i="2"/>
  <c r="M10" i="4" l="1" a="1"/>
  <c r="M10" i="4" s="1"/>
  <c r="M17" i="4" a="1"/>
  <c r="M17" i="4" s="1"/>
  <c r="M32" i="4" a="1"/>
  <c r="M32" i="4" s="1"/>
  <c r="M7" i="4" a="1"/>
  <c r="M7" i="4" s="1"/>
  <c r="M8" i="4" a="1"/>
  <c r="M8" i="4" s="1"/>
  <c r="M28" i="4" a="1"/>
  <c r="M28" i="4" s="1"/>
  <c r="M22" i="4" a="1"/>
  <c r="M22" i="4" s="1"/>
  <c r="M11" i="4" a="1"/>
  <c r="M11" i="4" s="1"/>
  <c r="M24" i="4" a="1"/>
  <c r="M24" i="4" s="1"/>
  <c r="M33" i="4" a="1"/>
  <c r="M33" i="4" s="1"/>
  <c r="M19" i="4" a="1"/>
  <c r="M19" i="4" s="1"/>
  <c r="M14" i="4" a="1"/>
  <c r="M14" i="4" s="1"/>
  <c r="M5" i="4" a="1"/>
  <c r="M5" i="4" s="1"/>
  <c r="M12" i="4" a="1"/>
  <c r="M12" i="4" s="1"/>
  <c r="M18" i="4" a="1"/>
  <c r="M18" i="4" s="1"/>
  <c r="M25" i="4" a="1"/>
  <c r="M25" i="4" s="1"/>
  <c r="M4" i="4" a="1"/>
  <c r="M4" i="4" s="1"/>
  <c r="M6" i="4" a="1"/>
  <c r="M6" i="4" s="1"/>
  <c r="M26" i="4" a="1"/>
  <c r="M26" i="4" s="1"/>
  <c r="M13" i="4" a="1"/>
  <c r="M13" i="4" s="1"/>
  <c r="M27" i="4" a="1"/>
  <c r="M27" i="4" s="1"/>
  <c r="M20" i="4" a="1"/>
  <c r="M20" i="4" s="1"/>
  <c r="M21" i="4" a="1"/>
  <c r="M21" i="4" s="1"/>
  <c r="M29" i="4" a="1"/>
  <c r="M29" i="4" s="1"/>
  <c r="M16" i="4" a="1"/>
  <c r="M16" i="4" s="1"/>
  <c r="M23" i="4" a="1"/>
  <c r="M23" i="4" s="1"/>
  <c r="M15" i="4" a="1"/>
  <c r="M15" i="4" s="1"/>
  <c r="M30" i="4" a="1"/>
  <c r="M30" i="4" s="1"/>
  <c r="M31" i="4" a="1"/>
  <c r="M31" i="4" s="1"/>
  <c r="M9" i="4" a="1"/>
  <c r="M9" i="4" s="1"/>
  <c r="F4" i="4"/>
  <c r="E10" i="4" a="1"/>
  <c r="E10" i="4" s="1"/>
  <c r="E19" i="4" a="1"/>
  <c r="E19" i="4" s="1"/>
  <c r="E28" i="4" a="1"/>
  <c r="E28" i="4" s="1"/>
  <c r="E21" i="4" a="1"/>
  <c r="E21" i="4" s="1"/>
  <c r="E14" i="4" a="1"/>
  <c r="E14" i="4" s="1"/>
  <c r="E6" i="4" a="1"/>
  <c r="E6" i="4" s="1"/>
  <c r="E33" i="4" a="1"/>
  <c r="E33" i="4" s="1"/>
  <c r="E11" i="4" a="1"/>
  <c r="E11" i="4" s="1"/>
  <c r="E20" i="4" a="1"/>
  <c r="E20" i="4" s="1"/>
  <c r="E29" i="4" a="1"/>
  <c r="E29" i="4" s="1"/>
  <c r="E30" i="4" a="1"/>
  <c r="E30" i="4" s="1"/>
  <c r="E5" i="4" a="1"/>
  <c r="E5" i="4" s="1"/>
  <c r="E32" i="4" a="1"/>
  <c r="E32" i="4" s="1"/>
  <c r="E15" i="4" a="1"/>
  <c r="E15" i="4" s="1"/>
  <c r="E25" i="4" a="1"/>
  <c r="E25" i="4" s="1"/>
  <c r="E7" i="4" a="1"/>
  <c r="E7" i="4" s="1"/>
  <c r="E12" i="4" a="1"/>
  <c r="E12" i="4" s="1"/>
  <c r="E4" i="4" a="1"/>
  <c r="E4" i="4" s="1"/>
  <c r="E13" i="4" a="1"/>
  <c r="E13" i="4" s="1"/>
  <c r="E22" i="4" a="1"/>
  <c r="E22" i="4" s="1"/>
  <c r="E31" i="4" a="1"/>
  <c r="E31" i="4" s="1"/>
  <c r="E23" i="4" a="1"/>
  <c r="E23" i="4" s="1"/>
  <c r="E24" i="4" a="1"/>
  <c r="E24" i="4" s="1"/>
  <c r="E16" i="4" a="1"/>
  <c r="E16" i="4" s="1"/>
  <c r="E26" i="4" a="1"/>
  <c r="E26" i="4" s="1"/>
  <c r="E27" i="4" a="1"/>
  <c r="E27" i="4" s="1"/>
  <c r="E18" i="4" a="1"/>
  <c r="E18" i="4" s="1"/>
  <c r="E8" i="4" a="1"/>
  <c r="E8" i="4" s="1"/>
  <c r="E9" i="4" a="1"/>
  <c r="E9" i="4" s="1"/>
  <c r="E17" i="4" a="1"/>
  <c r="E17" i="4" s="1"/>
  <c r="AT4" i="4"/>
  <c r="AS15" i="4" a="1"/>
  <c r="AS15" i="4" s="1"/>
  <c r="AS27" i="4" a="1"/>
  <c r="AS27" i="4" s="1"/>
  <c r="AS18" i="4" a="1"/>
  <c r="AS18" i="4" s="1"/>
  <c r="AS30" i="4" a="1"/>
  <c r="AS30" i="4" s="1"/>
  <c r="AS8" i="4" a="1"/>
  <c r="AS8" i="4" s="1"/>
  <c r="AS25" i="4" a="1"/>
  <c r="AS25" i="4" s="1"/>
  <c r="AS14" i="4" a="1"/>
  <c r="AS14" i="4" s="1"/>
  <c r="AS10" i="4" a="1"/>
  <c r="AS10" i="4" s="1"/>
  <c r="AS16" i="4" a="1"/>
  <c r="AS16" i="4" s="1"/>
  <c r="AS22" i="4" a="1"/>
  <c r="AS22" i="4" s="1"/>
  <c r="AS33" i="4" a="1"/>
  <c r="AS33" i="4" s="1"/>
  <c r="AS29" i="4" a="1"/>
  <c r="AS29" i="4" s="1"/>
  <c r="AS31" i="4" a="1"/>
  <c r="AS31" i="4" s="1"/>
  <c r="AS26" i="4" a="1"/>
  <c r="AS26" i="4" s="1"/>
  <c r="AS5" i="4" a="1"/>
  <c r="AS5" i="4" s="1"/>
  <c r="AS11" i="4" a="1"/>
  <c r="AS11" i="4" s="1"/>
  <c r="AS28" i="4" a="1"/>
  <c r="AS28" i="4" s="1"/>
  <c r="AS6" i="4" a="1"/>
  <c r="AS6" i="4" s="1"/>
  <c r="AS17" i="4" a="1"/>
  <c r="AS17" i="4" s="1"/>
  <c r="AS23" i="4" a="1"/>
  <c r="AS23" i="4" s="1"/>
  <c r="AS4" i="4" a="1"/>
  <c r="AS4" i="4" s="1"/>
  <c r="AS12" i="4" a="1"/>
  <c r="AS12" i="4" s="1"/>
  <c r="AS7" i="4" a="1"/>
  <c r="AS7" i="4" s="1"/>
  <c r="AS24" i="4" a="1"/>
  <c r="AS24" i="4" s="1"/>
  <c r="AS13" i="4" a="1"/>
  <c r="AS13" i="4" s="1"/>
  <c r="AS19" i="4" a="1"/>
  <c r="AS19" i="4" s="1"/>
  <c r="AS20" i="4" a="1"/>
  <c r="AS20" i="4" s="1"/>
  <c r="AS9" i="4" a="1"/>
  <c r="AS9" i="4" s="1"/>
  <c r="AS21" i="4" a="1"/>
  <c r="AS21" i="4" s="1"/>
  <c r="AS32" i="4" a="1"/>
  <c r="AS32" i="4" s="1"/>
  <c r="N4" i="4"/>
  <c r="B4" i="4" a="1"/>
  <c r="B4" i="4" l="1"/>
  <c r="A5" i="4" a="1"/>
  <c r="A5" i="4" s="1"/>
  <c r="A12" i="4" a="1"/>
  <c r="A12" i="4" s="1"/>
  <c r="A18" i="4" a="1"/>
  <c r="A18" i="4" s="1"/>
  <c r="A24" i="4" a="1"/>
  <c r="A24" i="4" s="1"/>
  <c r="A33" i="4" a="1"/>
  <c r="A33" i="4" s="1"/>
  <c r="A14" i="4" a="1"/>
  <c r="A14" i="4" s="1"/>
  <c r="A28" i="4" a="1"/>
  <c r="A28" i="4" s="1"/>
  <c r="A15" i="4" a="1"/>
  <c r="A15" i="4" s="1"/>
  <c r="A29" i="4" a="1"/>
  <c r="A29" i="4" s="1"/>
  <c r="A17" i="4" a="1"/>
  <c r="A17" i="4" s="1"/>
  <c r="A6" i="4" a="1"/>
  <c r="A6" i="4" s="1"/>
  <c r="A4" i="4" a="1"/>
  <c r="A4" i="4" s="1"/>
  <c r="A20" i="4" a="1"/>
  <c r="A20" i="4" s="1"/>
  <c r="A21" i="4" a="1"/>
  <c r="A21" i="4" s="1"/>
  <c r="A9" i="4" a="1"/>
  <c r="A9" i="4" s="1"/>
  <c r="A16" i="4" a="1"/>
  <c r="A16" i="4" s="1"/>
  <c r="A10" i="4" a="1"/>
  <c r="A10" i="4" s="1"/>
  <c r="A31" i="4" a="1"/>
  <c r="A31" i="4" s="1"/>
  <c r="A7" i="4" a="1"/>
  <c r="A7" i="4" s="1"/>
  <c r="A13" i="4" a="1"/>
  <c r="A13" i="4" s="1"/>
  <c r="A19" i="4" a="1"/>
  <c r="A19" i="4" s="1"/>
  <c r="A25" i="4" a="1"/>
  <c r="A25" i="4" s="1"/>
  <c r="A26" i="4" a="1"/>
  <c r="A26" i="4" s="1"/>
  <c r="A8" i="4" a="1"/>
  <c r="A8" i="4" s="1"/>
  <c r="A27" i="4" a="1"/>
  <c r="A27" i="4" s="1"/>
  <c r="A22" i="4" a="1"/>
  <c r="A22" i="4" s="1"/>
  <c r="A30" i="4" a="1"/>
  <c r="A30" i="4" s="1"/>
  <c r="A23" i="4" a="1"/>
  <c r="A23" i="4" s="1"/>
  <c r="A11" i="4" a="1"/>
  <c r="A11" i="4" s="1"/>
  <c r="A32" i="4" a="1"/>
  <c r="A3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<sst xmlns="http://schemas.openxmlformats.org/spreadsheetml/2006/main" count="133" uniqueCount="55">
  <si>
    <t>Seb Ashton</t>
  </si>
  <si>
    <t>Neal Beauchamp</t>
  </si>
  <si>
    <t>Harry Bunnell</t>
  </si>
  <si>
    <t>Grant Campbell</t>
  </si>
  <si>
    <t>Paul Davey</t>
  </si>
  <si>
    <t>Nick Davis</t>
  </si>
  <si>
    <t>Matt De Freitas</t>
  </si>
  <si>
    <t>David Goddard</t>
  </si>
  <si>
    <t>Alan Grant</t>
  </si>
  <si>
    <t>Neil Grunshaw</t>
  </si>
  <si>
    <t>Tom Herbert</t>
  </si>
  <si>
    <t>Chris Jenkins</t>
  </si>
  <si>
    <t>Tom Kennett</t>
  </si>
  <si>
    <t>Alice Lethbridge</t>
  </si>
  <si>
    <t>Ellen Lockett</t>
  </si>
  <si>
    <t>Eamon Mason</t>
  </si>
  <si>
    <t>Bill McClatchie</t>
  </si>
  <si>
    <t>Barry Moulder</t>
  </si>
  <si>
    <t>Raif Oz</t>
  </si>
  <si>
    <t>Henrik Persson</t>
  </si>
  <si>
    <t>Judah Rand</t>
  </si>
  <si>
    <t>Tobi Rosenkranz</t>
  </si>
  <si>
    <t>Richard Southcott</t>
  </si>
  <si>
    <t>Richard Turner</t>
  </si>
  <si>
    <t>Conor Walsh</t>
  </si>
  <si>
    <t>Denis Whelan</t>
  </si>
  <si>
    <t>Andy Whiteside</t>
  </si>
  <si>
    <t>David Willis</t>
  </si>
  <si>
    <t>David Wong</t>
  </si>
  <si>
    <t>Olly Wright</t>
  </si>
  <si>
    <t>Stage 1</t>
  </si>
  <si>
    <t>Stage 2</t>
  </si>
  <si>
    <t>Stage 3</t>
  </si>
  <si>
    <t>Stage 4</t>
  </si>
  <si>
    <t>Stage 5</t>
  </si>
  <si>
    <t>Stage 6</t>
  </si>
  <si>
    <t>Position</t>
  </si>
  <si>
    <t>Name</t>
  </si>
  <si>
    <t>Time</t>
  </si>
  <si>
    <t>Points</t>
  </si>
  <si>
    <t>Total Points</t>
  </si>
  <si>
    <t>Handicap Group</t>
  </si>
  <si>
    <t>Handicap</t>
  </si>
  <si>
    <t>Adjusted</t>
  </si>
  <si>
    <t>Base</t>
  </si>
  <si>
    <t>B1</t>
  </si>
  <si>
    <t>B2</t>
  </si>
  <si>
    <t>B4</t>
  </si>
  <si>
    <t>Base Points</t>
  </si>
  <si>
    <t>Adjusted Points</t>
  </si>
  <si>
    <t>Cap (A)</t>
  </si>
  <si>
    <t>Overall</t>
  </si>
  <si>
    <t>Rank</t>
  </si>
  <si>
    <t>Pos.</t>
  </si>
  <si>
    <t>Base 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</si>
</sst>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21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21" fontId="16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workbookViewId="0">
      <selection activeCell="AD44" sqref="AD44"/>
    </sheetView>
  </sheetViews>
  <sheetFormatPr baseColWidth="10" defaultColWidth="8.83203125" defaultRowHeight="15" x14ac:dyDescent="0.2"/>
  <cols>
    <col min="1" max="1" width="15.6640625" bestFit="1" customWidth="1"/>
    <col min="2" max="2" width="9.1640625" style="1" customWidth="1"/>
    <col min="3" max="3" width="2" style="1" customWidth="1"/>
    <col min="4" max="4" width="7.5" style="1" bestFit="1" customWidth="1"/>
    <col min="5" max="5" width="8.1640625" style="1" bestFit="1" customWidth="1"/>
    <col min="6" max="6" width="8.33203125" style="1" customWidth="1"/>
    <col min="7" max="8" width="8.33203125" style="6" bestFit="1" customWidth="1"/>
    <col min="9" max="9" width="2" style="1" customWidth="1"/>
    <col min="10" max="10" width="7.5" style="1" bestFit="1" customWidth="1"/>
    <col min="11" max="11" width="8.1640625" style="1" bestFit="1" customWidth="1"/>
    <col min="12" max="12" width="8.33203125" style="1" customWidth="1"/>
    <col min="13" max="14" width="8.33203125" style="6" bestFit="1" customWidth="1"/>
    <col min="15" max="15" width="2" style="1" customWidth="1"/>
    <col min="16" max="16" width="7.5" style="1" bestFit="1" customWidth="1"/>
    <col min="17" max="17" width="8.1640625" style="1" bestFit="1" customWidth="1"/>
    <col min="18" max="18" width="8.33203125" style="1" customWidth="1"/>
    <col min="19" max="20" width="8.33203125" style="6" bestFit="1" customWidth="1"/>
    <col min="21" max="21" width="2" style="1" customWidth="1"/>
    <col min="22" max="22" width="7.5" style="1" bestFit="1" customWidth="1"/>
    <col min="23" max="23" width="8.1640625" style="1" bestFit="1" customWidth="1"/>
    <col min="24" max="24" width="8.33203125" style="1" customWidth="1"/>
    <col min="25" max="26" width="8.33203125" style="6" bestFit="1" customWidth="1"/>
    <col min="27" max="27" width="2" style="1" customWidth="1"/>
    <col min="28" max="28" width="7.5" style="1" bestFit="1" customWidth="1"/>
    <col min="29" max="29" width="8.1640625" style="1" bestFit="1" customWidth="1"/>
    <col min="30" max="30" width="8.33203125" style="1" customWidth="1"/>
    <col min="31" max="32" width="8.33203125" style="6" bestFit="1" customWidth="1"/>
    <col min="33" max="33" width="2" style="1" customWidth="1"/>
    <col min="34" max="34" width="7.5" style="1" bestFit="1" customWidth="1"/>
    <col min="35" max="35" width="8.1640625" style="1" bestFit="1" customWidth="1"/>
    <col min="36" max="36" width="8.33203125" style="1" customWidth="1"/>
    <col min="37" max="38" width="8.33203125" style="6" bestFit="1" customWidth="1"/>
    <col min="39" max="39" width="2.1640625" customWidth="1"/>
    <col min="40" max="40" width="8.5" style="1" customWidth="1"/>
    <col min="41" max="41" width="8.83203125" style="2"/>
  </cols>
  <sheetData>
    <row r="1" spans="1:41" s="2" customFormat="1" ht="16" thickBot="1" x14ac:dyDescent="0.25">
      <c r="B1" s="15" t="s">
        <v>41</v>
      </c>
      <c r="C1" s="3"/>
      <c r="D1" s="11" t="s">
        <v>30</v>
      </c>
      <c r="E1" s="11"/>
      <c r="F1" s="11"/>
      <c r="G1" s="11"/>
      <c r="H1" s="11"/>
      <c r="I1" s="3"/>
      <c r="J1" s="11" t="s">
        <v>31</v>
      </c>
      <c r="K1" s="11"/>
      <c r="L1" s="11"/>
      <c r="M1" s="11"/>
      <c r="N1" s="11"/>
      <c r="O1" s="3"/>
      <c r="P1" s="11" t="s">
        <v>32</v>
      </c>
      <c r="Q1" s="11"/>
      <c r="R1" s="11"/>
      <c r="S1" s="11"/>
      <c r="T1" s="11"/>
      <c r="U1" s="3"/>
      <c r="V1" s="11" t="s">
        <v>33</v>
      </c>
      <c r="W1" s="11"/>
      <c r="X1" s="11"/>
      <c r="Y1" s="11"/>
      <c r="Z1" s="11"/>
      <c r="AA1" s="3"/>
      <c r="AB1" s="11" t="s">
        <v>34</v>
      </c>
      <c r="AC1" s="11"/>
      <c r="AD1" s="11"/>
      <c r="AE1" s="11"/>
      <c r="AF1" s="11"/>
      <c r="AG1" s="3"/>
      <c r="AH1" s="11" t="s">
        <v>35</v>
      </c>
      <c r="AI1" s="11"/>
      <c r="AJ1" s="11"/>
      <c r="AK1" s="11"/>
      <c r="AL1" s="11"/>
      <c r="AN1" s="15" t="s">
        <v>48</v>
      </c>
      <c r="AO1" s="15" t="s">
        <v>49</v>
      </c>
    </row>
    <row r="2" spans="1:41" s="2" customFormat="1" ht="16" customHeight="1" thickBot="1" x14ac:dyDescent="0.25">
      <c r="B2" s="15"/>
      <c r="C2" s="3"/>
      <c r="D2" s="12" t="s">
        <v>36</v>
      </c>
      <c r="E2" s="12" t="s">
        <v>38</v>
      </c>
      <c r="F2" s="14" t="s">
        <v>39</v>
      </c>
      <c r="G2" s="14"/>
      <c r="H2" s="14"/>
      <c r="I2" s="3"/>
      <c r="J2" s="12" t="s">
        <v>36</v>
      </c>
      <c r="K2" s="12" t="s">
        <v>38</v>
      </c>
      <c r="L2" s="14" t="s">
        <v>39</v>
      </c>
      <c r="M2" s="14"/>
      <c r="N2" s="14"/>
      <c r="O2" s="3"/>
      <c r="P2" s="12" t="s">
        <v>36</v>
      </c>
      <c r="Q2" s="12" t="s">
        <v>38</v>
      </c>
      <c r="R2" s="14" t="s">
        <v>39</v>
      </c>
      <c r="S2" s="14"/>
      <c r="T2" s="14"/>
      <c r="U2" s="3"/>
      <c r="V2" s="12" t="s">
        <v>36</v>
      </c>
      <c r="W2" s="12" t="s">
        <v>38</v>
      </c>
      <c r="X2" s="14" t="s">
        <v>39</v>
      </c>
      <c r="Y2" s="14"/>
      <c r="Z2" s="14"/>
      <c r="AA2" s="3"/>
      <c r="AB2" s="12" t="s">
        <v>36</v>
      </c>
      <c r="AC2" s="12" t="s">
        <v>38</v>
      </c>
      <c r="AD2" s="14" t="s">
        <v>39</v>
      </c>
      <c r="AE2" s="14"/>
      <c r="AF2" s="14"/>
      <c r="AG2" s="3"/>
      <c r="AH2" s="12" t="s">
        <v>36</v>
      </c>
      <c r="AI2" s="12" t="s">
        <v>38</v>
      </c>
      <c r="AJ2" s="14" t="s">
        <v>39</v>
      </c>
      <c r="AK2" s="14"/>
      <c r="AL2" s="14"/>
      <c r="AN2" s="15"/>
      <c r="AO2" s="15"/>
    </row>
    <row r="3" spans="1:41" s="2" customFormat="1" x14ac:dyDescent="0.2">
      <c r="A3" s="2" t="s">
        <v>37</v>
      </c>
      <c r="B3" s="15"/>
      <c r="C3" s="3"/>
      <c r="D3" s="13"/>
      <c r="E3" s="13"/>
      <c r="F3" s="3" t="s">
        <v>44</v>
      </c>
      <c r="G3" s="5" t="s">
        <v>42</v>
      </c>
      <c r="H3" s="5" t="s">
        <v>43</v>
      </c>
      <c r="I3" s="3"/>
      <c r="J3" s="13"/>
      <c r="K3" s="13"/>
      <c r="L3" s="3" t="s">
        <v>44</v>
      </c>
      <c r="M3" s="5" t="s">
        <v>42</v>
      </c>
      <c r="N3" s="5" t="s">
        <v>43</v>
      </c>
      <c r="O3" s="3"/>
      <c r="P3" s="13"/>
      <c r="Q3" s="13"/>
      <c r="R3" s="3" t="s">
        <v>44</v>
      </c>
      <c r="S3" s="5" t="s">
        <v>42</v>
      </c>
      <c r="T3" s="5" t="s">
        <v>43</v>
      </c>
      <c r="U3" s="3"/>
      <c r="V3" s="13"/>
      <c r="W3" s="13"/>
      <c r="X3" s="3" t="s">
        <v>44</v>
      </c>
      <c r="Y3" s="5" t="s">
        <v>42</v>
      </c>
      <c r="Z3" s="5" t="s">
        <v>43</v>
      </c>
      <c r="AA3" s="3"/>
      <c r="AB3" s="13"/>
      <c r="AC3" s="13"/>
      <c r="AD3" s="3" t="s">
        <v>44</v>
      </c>
      <c r="AE3" s="5" t="s">
        <v>42</v>
      </c>
      <c r="AF3" s="5" t="s">
        <v>43</v>
      </c>
      <c r="AG3" s="3"/>
      <c r="AH3" s="13"/>
      <c r="AI3" s="13"/>
      <c r="AJ3" s="3" t="s">
        <v>44</v>
      </c>
      <c r="AK3" s="5" t="s">
        <v>42</v>
      </c>
      <c r="AL3" s="5" t="s">
        <v>43</v>
      </c>
      <c r="AN3" s="15"/>
      <c r="AO3" s="15"/>
    </row>
    <row r="4" spans="1:41" s="2" customFormat="1" ht="7.25" customHeight="1" x14ac:dyDescent="0.2">
      <c r="B4" s="3"/>
      <c r="C4" s="3"/>
      <c r="D4" s="3"/>
      <c r="E4" s="3"/>
      <c r="F4" s="3"/>
      <c r="G4" s="5"/>
      <c r="H4" s="5"/>
      <c r="I4" s="3"/>
      <c r="J4" s="3"/>
      <c r="K4" s="3"/>
      <c r="L4" s="3"/>
      <c r="M4" s="5"/>
      <c r="N4" s="5"/>
      <c r="O4" s="3"/>
      <c r="P4" s="3"/>
      <c r="Q4" s="3"/>
      <c r="R4" s="3"/>
      <c r="S4" s="5"/>
      <c r="T4" s="5"/>
      <c r="U4" s="3"/>
      <c r="V4" s="3"/>
      <c r="W4" s="3"/>
      <c r="X4" s="3"/>
      <c r="Y4" s="5"/>
      <c r="Z4" s="5"/>
      <c r="AA4" s="3"/>
      <c r="AB4" s="3"/>
      <c r="AC4" s="3"/>
      <c r="AD4" s="3"/>
      <c r="AE4" s="5"/>
      <c r="AF4" s="5"/>
      <c r="AG4" s="3"/>
      <c r="AH4" s="3"/>
      <c r="AI4" s="3"/>
      <c r="AJ4" s="3"/>
      <c r="AK4" s="5"/>
      <c r="AL4" s="5"/>
      <c r="AN4" s="3"/>
    </row>
    <row r="5" spans="1:41" x14ac:dyDescent="0.2">
      <c r="A5" t="s">
        <v>18</v>
      </c>
      <c r="B5" s="1">
        <v>2</v>
      </c>
      <c r="D5" s="1">
        <v>4</v>
      </c>
      <c r="E5" s="4">
        <v>1.1597222222222222E-2</v>
      </c>
      <c r="F5" s="1">
        <f t="shared" ref="F5:F34" si="0">IF(COUNT(D$5:D$48)=0,"",IF(ISNUMBER(D5),POINTS_CAP_B-D5,0))</f>
        <v>31</v>
      </c>
      <c r="G5" s="6">
        <f t="shared" ref="G5:G34" si="1">IF(COUNT(D$5:D$48)=0,"",
   IFERROR(CHOOSE($B5,HDCP_V_B1,HDCP_V_B2,HDCP_V_B3,HDCP_V_B4),0))</f>
        <v>5</v>
      </c>
      <c r="H5" s="6">
        <f t="shared" ref="H5:H34" si="2">IF(COUNT(D$5:D$48)=0,"",MIN(F5+G5,POINTS_CAP_B))</f>
        <v>35</v>
      </c>
      <c r="J5" s="1">
        <v>6</v>
      </c>
      <c r="K5" s="4">
        <v>2.1064814814814814E-2</v>
      </c>
      <c r="L5" s="1">
        <f t="shared" ref="L5:L34" si="3">IF(COUNT(J$5:J$48)=0,"",IF(ISNUMBER(J5),POINTS_CAP_B-J5,0))</f>
        <v>29</v>
      </c>
      <c r="M5" s="6">
        <f t="shared" ref="M5:M34" si="4">IF(COUNT(J$5:J$48)=0,"",
   IFERROR(CHOOSE($B5,HDCP_V_B1,HDCP_V_B2,HDCP_V_B3,HDCP_V_B4),0))</f>
        <v>5</v>
      </c>
      <c r="N5" s="6">
        <f t="shared" ref="N5:N34" si="5">IF(COUNT(J$5:J$48)=0,"",MIN(L5+M5,POINTS_CAP_B))</f>
        <v>34</v>
      </c>
      <c r="P5" s="1">
        <v>4</v>
      </c>
      <c r="Q5" s="4">
        <v>1.741898148148148E-2</v>
      </c>
      <c r="R5" s="1">
        <f t="shared" ref="R5:R34" si="6">IF(COUNT(P$5:P$48)=0,"",IF(ISNUMBER(P5),POINTS_CAP_B-P5,0))</f>
        <v>31</v>
      </c>
      <c r="S5" s="6">
        <f t="shared" ref="S5:S34" si="7">IF(COUNT(P$5:P$48)=0,"",
   IFERROR(CHOOSE($B5,HDCP_V_B1,HDCP_V_B2,HDCP_V_B3,HDCP_V_B4),0))</f>
        <v>5</v>
      </c>
      <c r="T5" s="6">
        <f t="shared" ref="T5:T34" si="8">IF(COUNT(P$5:P$48)=0,"",MIN(R5+S5,POINTS_CAP_B))</f>
        <v>35</v>
      </c>
      <c r="V5" s="1">
        <v>5</v>
      </c>
      <c r="W5" s="4">
        <v>3.4699074074074077E-2</v>
      </c>
      <c r="X5" s="1">
        <f t="shared" ref="X5:X34" si="9">IF(COUNT(V$5:V$48)=0,"",IF(ISNUMBER(V5),POINTS_CAP_B-V5,0))</f>
        <v>30</v>
      </c>
      <c r="Y5" s="6">
        <f t="shared" ref="Y5:Y34" si="10">IF(COUNT(V$5:V$48)=0,"",
   IFERROR(CHOOSE($B5,HDCP_V_B1,HDCP_V_B2,HDCP_V_B3,HDCP_V_B4),0))</f>
        <v>5</v>
      </c>
      <c r="Z5" s="6">
        <f t="shared" ref="Z5:Z34" si="11">IF(COUNT(V$5:V$48)=0,"",MIN(X5+Y5,POINTS_CAP_B))</f>
        <v>35</v>
      </c>
      <c r="AB5" s="1">
        <v>4</v>
      </c>
      <c r="AC5" s="4">
        <v>3.5335648148148151E-2</v>
      </c>
      <c r="AD5" s="1">
        <f t="shared" ref="AD5:AD34" si="12">IF(COUNT(AB$5:AB$48)=0,"",IF(ISNUMBER(AB5),POINTS_CAP_B-AB5,0))</f>
        <v>31</v>
      </c>
      <c r="AE5" s="6">
        <f t="shared" ref="AE5:AE34" si="13">IF(COUNT(AB$5:AB$48)=0,"",
   IFERROR(CHOOSE($B5,HDCP_V_B1,HDCP_V_B2,HDCP_V_B3,HDCP_V_B4),0))</f>
        <v>5</v>
      </c>
      <c r="AF5" s="6">
        <f t="shared" ref="AF5:AF34" si="14">IF(COUNT(AB$5:AB$48)=0,"",MIN(AD5+AE5,POINTS_CAP_B))</f>
        <v>35</v>
      </c>
      <c r="AH5" s="1">
        <v>3</v>
      </c>
      <c r="AI5" s="4">
        <v>2.494212962962963E-2</v>
      </c>
      <c r="AJ5" s="1">
        <f t="shared" ref="AJ5:AJ34" si="15">IF(COUNT(AH$5:AH$48)=0,"",IF(ISNUMBER(AH5),POINTS_CAP_B-AH5,0))</f>
        <v>32</v>
      </c>
      <c r="AK5" s="6">
        <f t="shared" ref="AK5:AK34" si="16">IF(COUNT(AH$5:AH$48)=0,"",
   IFERROR(CHOOSE($B5,HDCP_V_B1,HDCP_V_B2,HDCP_V_B3,HDCP_V_B4),0))</f>
        <v>5</v>
      </c>
      <c r="AL5" s="6">
        <f t="shared" ref="AL5:AL34" si="17">IF(COUNT(AH$5:AH$48)=0,"",MIN(AJ5+AK5,POINTS_CAP_B))</f>
        <v>35</v>
      </c>
      <c r="AN5" s="1">
        <f>SUM(F5,L5,R5,X5,AD5,AJ5)</f>
        <v>184</v>
      </c>
      <c r="AO5" s="3">
        <f>SUM(H5,N5,T5,Z5,AF5,AL5)</f>
        <v>209</v>
      </c>
    </row>
    <row r="6" spans="1:41" x14ac:dyDescent="0.2">
      <c r="A6" t="s">
        <v>20</v>
      </c>
      <c r="B6" s="1">
        <v>1</v>
      </c>
      <c r="D6" s="1">
        <v>5</v>
      </c>
      <c r="E6" s="4">
        <v>1.1608796296296296E-2</v>
      </c>
      <c r="F6" s="1">
        <f t="shared" si="0"/>
        <v>30</v>
      </c>
      <c r="G6" s="6">
        <f t="shared" si="1"/>
        <v>0</v>
      </c>
      <c r="H6" s="6">
        <f t="shared" si="2"/>
        <v>30</v>
      </c>
      <c r="J6" s="1">
        <v>1</v>
      </c>
      <c r="K6" s="4">
        <v>2.0810185185185185E-2</v>
      </c>
      <c r="L6" s="1">
        <f t="shared" si="3"/>
        <v>34</v>
      </c>
      <c r="M6" s="6">
        <f t="shared" si="4"/>
        <v>0</v>
      </c>
      <c r="N6" s="6">
        <f t="shared" si="5"/>
        <v>34</v>
      </c>
      <c r="P6" s="1">
        <v>1</v>
      </c>
      <c r="Q6" s="4">
        <v>1.7094907407407409E-2</v>
      </c>
      <c r="R6" s="1">
        <f t="shared" si="6"/>
        <v>34</v>
      </c>
      <c r="S6" s="6">
        <f t="shared" si="7"/>
        <v>0</v>
      </c>
      <c r="T6" s="6">
        <f t="shared" si="8"/>
        <v>34</v>
      </c>
      <c r="V6" s="1">
        <v>1</v>
      </c>
      <c r="W6" s="4">
        <v>3.1782407407407405E-2</v>
      </c>
      <c r="X6" s="1">
        <f t="shared" si="9"/>
        <v>34</v>
      </c>
      <c r="Y6" s="6">
        <f t="shared" si="10"/>
        <v>0</v>
      </c>
      <c r="Z6" s="6">
        <f t="shared" si="11"/>
        <v>34</v>
      </c>
      <c r="AB6" s="1">
        <v>1</v>
      </c>
      <c r="AC6" s="4">
        <v>3.4155092592592591E-2</v>
      </c>
      <c r="AD6" s="1">
        <f t="shared" si="12"/>
        <v>34</v>
      </c>
      <c r="AE6" s="6">
        <f t="shared" si="13"/>
        <v>0</v>
      </c>
      <c r="AF6" s="6">
        <f t="shared" si="14"/>
        <v>34</v>
      </c>
      <c r="AH6" s="1">
        <v>2</v>
      </c>
      <c r="AI6" s="4">
        <v>2.4849537037037035E-2</v>
      </c>
      <c r="AJ6" s="1">
        <f t="shared" si="15"/>
        <v>33</v>
      </c>
      <c r="AK6" s="6">
        <f t="shared" si="16"/>
        <v>0</v>
      </c>
      <c r="AL6" s="6">
        <f t="shared" si="17"/>
        <v>33</v>
      </c>
      <c r="AN6" s="1">
        <f t="shared" ref="AN6:AN34" si="18">SUM(F6,L6,R6,X6,AD6,AJ6)</f>
        <v>199</v>
      </c>
      <c r="AO6" s="3">
        <f t="shared" ref="AO6:AO34" si="19">SUM(H6,N6,T6,Z6,AF6,AL6)</f>
        <v>199</v>
      </c>
    </row>
    <row r="7" spans="1:41" x14ac:dyDescent="0.2">
      <c r="A7" t="s">
        <v>21</v>
      </c>
      <c r="B7" s="1">
        <v>2</v>
      </c>
      <c r="D7" s="1">
        <v>8</v>
      </c>
      <c r="E7" s="4">
        <v>1.1724537037037035E-2</v>
      </c>
      <c r="F7" s="1">
        <f t="shared" si="0"/>
        <v>27</v>
      </c>
      <c r="G7" s="6">
        <f t="shared" si="1"/>
        <v>5</v>
      </c>
      <c r="H7" s="6">
        <f t="shared" si="2"/>
        <v>32</v>
      </c>
      <c r="J7" s="1">
        <v>3</v>
      </c>
      <c r="K7" s="4">
        <v>2.0868055555555556E-2</v>
      </c>
      <c r="L7" s="1">
        <f t="shared" si="3"/>
        <v>32</v>
      </c>
      <c r="M7" s="6">
        <f t="shared" si="4"/>
        <v>5</v>
      </c>
      <c r="N7" s="6">
        <f t="shared" si="5"/>
        <v>35</v>
      </c>
      <c r="P7" s="1">
        <v>4</v>
      </c>
      <c r="Q7" s="4">
        <v>1.741898148148148E-2</v>
      </c>
      <c r="R7" s="1">
        <f t="shared" si="6"/>
        <v>31</v>
      </c>
      <c r="S7" s="6">
        <f t="shared" si="7"/>
        <v>5</v>
      </c>
      <c r="T7" s="6">
        <f t="shared" si="8"/>
        <v>35</v>
      </c>
      <c r="V7" s="1">
        <v>10</v>
      </c>
      <c r="W7" s="4">
        <v>3.7164351851851851E-2</v>
      </c>
      <c r="X7" s="1">
        <f t="shared" si="9"/>
        <v>25</v>
      </c>
      <c r="Y7" s="6">
        <f t="shared" si="10"/>
        <v>5</v>
      </c>
      <c r="Z7" s="6">
        <f t="shared" si="11"/>
        <v>30</v>
      </c>
      <c r="AB7" s="1">
        <v>5</v>
      </c>
      <c r="AC7" s="4">
        <v>3.5381944444444445E-2</v>
      </c>
      <c r="AD7" s="1">
        <f t="shared" si="12"/>
        <v>30</v>
      </c>
      <c r="AE7" s="6">
        <f t="shared" si="13"/>
        <v>5</v>
      </c>
      <c r="AF7" s="6">
        <f t="shared" si="14"/>
        <v>35</v>
      </c>
      <c r="AH7" s="1">
        <v>5</v>
      </c>
      <c r="AI7" s="4">
        <v>2.5555555555555554E-2</v>
      </c>
      <c r="AJ7" s="1">
        <f t="shared" si="15"/>
        <v>30</v>
      </c>
      <c r="AK7" s="6">
        <f t="shared" si="16"/>
        <v>5</v>
      </c>
      <c r="AL7" s="6">
        <f t="shared" si="17"/>
        <v>35</v>
      </c>
      <c r="AN7" s="1">
        <f t="shared" si="18"/>
        <v>175</v>
      </c>
      <c r="AO7" s="3">
        <f t="shared" si="19"/>
        <v>202</v>
      </c>
    </row>
    <row r="8" spans="1:41" x14ac:dyDescent="0.2">
      <c r="A8" t="s">
        <v>0</v>
      </c>
      <c r="B8" s="1">
        <v>1</v>
      </c>
      <c r="D8" s="1">
        <v>5</v>
      </c>
      <c r="E8" s="4">
        <v>1.1608796296296296E-2</v>
      </c>
      <c r="F8" s="1">
        <f t="shared" si="0"/>
        <v>30</v>
      </c>
      <c r="G8" s="6">
        <f t="shared" si="1"/>
        <v>0</v>
      </c>
      <c r="H8" s="6">
        <f t="shared" si="2"/>
        <v>30</v>
      </c>
      <c r="J8" s="1">
        <v>2</v>
      </c>
      <c r="K8" s="4">
        <v>2.0810185185185185E-2</v>
      </c>
      <c r="L8" s="1">
        <f t="shared" si="3"/>
        <v>33</v>
      </c>
      <c r="M8" s="6">
        <f t="shared" si="4"/>
        <v>0</v>
      </c>
      <c r="N8" s="6">
        <f t="shared" si="5"/>
        <v>33</v>
      </c>
      <c r="P8" s="1">
        <v>2</v>
      </c>
      <c r="Q8" s="4">
        <v>1.7106481481481483E-2</v>
      </c>
      <c r="R8" s="1">
        <f t="shared" si="6"/>
        <v>33</v>
      </c>
      <c r="S8" s="6">
        <f t="shared" si="7"/>
        <v>0</v>
      </c>
      <c r="T8" s="6">
        <f t="shared" si="8"/>
        <v>33</v>
      </c>
      <c r="V8" s="1">
        <v>3</v>
      </c>
      <c r="W8" s="4">
        <v>3.3148148148148149E-2</v>
      </c>
      <c r="X8" s="1">
        <f t="shared" si="9"/>
        <v>32</v>
      </c>
      <c r="Y8" s="6">
        <f t="shared" si="10"/>
        <v>0</v>
      </c>
      <c r="Z8" s="6">
        <f t="shared" si="11"/>
        <v>32</v>
      </c>
      <c r="AB8" s="1">
        <v>2</v>
      </c>
      <c r="AC8" s="4">
        <v>3.4247685185185187E-2</v>
      </c>
      <c r="AD8" s="1">
        <f t="shared" si="12"/>
        <v>33</v>
      </c>
      <c r="AE8" s="6">
        <f t="shared" si="13"/>
        <v>0</v>
      </c>
      <c r="AF8" s="6">
        <f t="shared" si="14"/>
        <v>33</v>
      </c>
      <c r="AH8" s="1">
        <v>3</v>
      </c>
      <c r="AI8" s="4">
        <v>2.494212962962963E-2</v>
      </c>
      <c r="AJ8" s="1">
        <f t="shared" si="15"/>
        <v>32</v>
      </c>
      <c r="AK8" s="6">
        <f t="shared" si="16"/>
        <v>0</v>
      </c>
      <c r="AL8" s="6">
        <f t="shared" si="17"/>
        <v>32</v>
      </c>
      <c r="AN8" s="1">
        <f t="shared" si="18"/>
        <v>193</v>
      </c>
      <c r="AO8" s="3">
        <f t="shared" si="19"/>
        <v>193</v>
      </c>
    </row>
    <row r="9" spans="1:41" x14ac:dyDescent="0.2">
      <c r="A9" t="s">
        <v>19</v>
      </c>
      <c r="B9" s="1">
        <v>2</v>
      </c>
      <c r="D9" s="1">
        <v>2</v>
      </c>
      <c r="E9" s="4">
        <v>1.1562499999999998E-2</v>
      </c>
      <c r="F9" s="1">
        <f t="shared" si="0"/>
        <v>33</v>
      </c>
      <c r="G9" s="6">
        <f t="shared" si="1"/>
        <v>5</v>
      </c>
      <c r="H9" s="6">
        <f t="shared" si="2"/>
        <v>35</v>
      </c>
      <c r="J9" s="1">
        <v>7</v>
      </c>
      <c r="K9" s="4">
        <v>2.1076388888888891E-2</v>
      </c>
      <c r="L9" s="1">
        <f t="shared" si="3"/>
        <v>28</v>
      </c>
      <c r="M9" s="6">
        <f t="shared" si="4"/>
        <v>5</v>
      </c>
      <c r="N9" s="6">
        <f t="shared" si="5"/>
        <v>33</v>
      </c>
      <c r="P9" s="1">
        <v>3</v>
      </c>
      <c r="Q9" s="4">
        <v>1.7407407407407406E-2</v>
      </c>
      <c r="R9" s="1">
        <f t="shared" si="6"/>
        <v>32</v>
      </c>
      <c r="S9" s="6">
        <f t="shared" si="7"/>
        <v>5</v>
      </c>
      <c r="T9" s="6">
        <f t="shared" si="8"/>
        <v>35</v>
      </c>
      <c r="V9" s="1">
        <v>8</v>
      </c>
      <c r="W9" s="4">
        <v>3.6180555555555556E-2</v>
      </c>
      <c r="X9" s="1">
        <f t="shared" si="9"/>
        <v>27</v>
      </c>
      <c r="Y9" s="6">
        <f t="shared" si="10"/>
        <v>5</v>
      </c>
      <c r="Z9" s="6">
        <f t="shared" si="11"/>
        <v>32</v>
      </c>
      <c r="AB9" s="1">
        <v>8</v>
      </c>
      <c r="AC9" s="4">
        <v>3.6469907407407402E-2</v>
      </c>
      <c r="AD9" s="1">
        <f t="shared" si="12"/>
        <v>27</v>
      </c>
      <c r="AE9" s="6">
        <f t="shared" si="13"/>
        <v>5</v>
      </c>
      <c r="AF9" s="6">
        <f t="shared" si="14"/>
        <v>32</v>
      </c>
      <c r="AH9" s="1">
        <v>9</v>
      </c>
      <c r="AI9" s="4">
        <v>2.5613425925925925E-2</v>
      </c>
      <c r="AJ9" s="1">
        <f t="shared" si="15"/>
        <v>26</v>
      </c>
      <c r="AK9" s="6">
        <f t="shared" si="16"/>
        <v>5</v>
      </c>
      <c r="AL9" s="6">
        <f t="shared" si="17"/>
        <v>31</v>
      </c>
      <c r="AN9" s="1">
        <f t="shared" si="18"/>
        <v>173</v>
      </c>
      <c r="AO9" s="3">
        <f t="shared" si="19"/>
        <v>198</v>
      </c>
    </row>
    <row r="10" spans="1:41" x14ac:dyDescent="0.2">
      <c r="A10" t="s">
        <v>13</v>
      </c>
      <c r="B10" s="1">
        <v>2</v>
      </c>
      <c r="D10" s="1">
        <v>1</v>
      </c>
      <c r="E10" s="4">
        <v>1.1539351851851851E-2</v>
      </c>
      <c r="F10" s="1">
        <f t="shared" si="0"/>
        <v>34</v>
      </c>
      <c r="G10" s="6">
        <f t="shared" si="1"/>
        <v>5</v>
      </c>
      <c r="H10" s="6">
        <f t="shared" si="2"/>
        <v>35</v>
      </c>
      <c r="J10" s="1">
        <v>5</v>
      </c>
      <c r="K10" s="4">
        <v>2.1053240740740744E-2</v>
      </c>
      <c r="L10" s="1">
        <f t="shared" si="3"/>
        <v>30</v>
      </c>
      <c r="M10" s="6">
        <f t="shared" si="4"/>
        <v>5</v>
      </c>
      <c r="N10" s="6">
        <f t="shared" si="5"/>
        <v>35</v>
      </c>
      <c r="P10" s="1">
        <v>4</v>
      </c>
      <c r="Q10" s="4">
        <v>1.741898148148148E-2</v>
      </c>
      <c r="R10" s="1">
        <f t="shared" si="6"/>
        <v>31</v>
      </c>
      <c r="S10" s="6">
        <f t="shared" si="7"/>
        <v>5</v>
      </c>
      <c r="T10" s="6">
        <f t="shared" si="8"/>
        <v>35</v>
      </c>
      <c r="V10" s="1">
        <v>6</v>
      </c>
      <c r="W10" s="4">
        <v>3.5821759259259262E-2</v>
      </c>
      <c r="X10" s="1">
        <f t="shared" si="9"/>
        <v>29</v>
      </c>
      <c r="Y10" s="6">
        <f t="shared" si="10"/>
        <v>5</v>
      </c>
      <c r="Z10" s="6">
        <f t="shared" si="11"/>
        <v>34</v>
      </c>
      <c r="AB10" s="1">
        <v>7</v>
      </c>
      <c r="AC10" s="4">
        <v>3.636574074074074E-2</v>
      </c>
      <c r="AD10" s="1">
        <f t="shared" si="12"/>
        <v>28</v>
      </c>
      <c r="AE10" s="6">
        <f t="shared" si="13"/>
        <v>5</v>
      </c>
      <c r="AF10" s="6">
        <f t="shared" si="14"/>
        <v>33</v>
      </c>
      <c r="AH10" s="1">
        <v>16</v>
      </c>
      <c r="AI10" s="4">
        <v>2.6469907407407411E-2</v>
      </c>
      <c r="AJ10" s="1">
        <f t="shared" si="15"/>
        <v>19</v>
      </c>
      <c r="AK10" s="6">
        <f t="shared" si="16"/>
        <v>5</v>
      </c>
      <c r="AL10" s="6">
        <f t="shared" si="17"/>
        <v>24</v>
      </c>
      <c r="AN10" s="1">
        <f t="shared" si="18"/>
        <v>171</v>
      </c>
      <c r="AO10" s="3">
        <f t="shared" si="19"/>
        <v>196</v>
      </c>
    </row>
    <row r="11" spans="1:41" x14ac:dyDescent="0.2">
      <c r="A11" t="s">
        <v>12</v>
      </c>
      <c r="B11" s="1">
        <v>1</v>
      </c>
      <c r="D11" s="1">
        <v>2</v>
      </c>
      <c r="E11" s="4">
        <v>1.1562499999999998E-2</v>
      </c>
      <c r="F11" s="1">
        <f t="shared" si="0"/>
        <v>33</v>
      </c>
      <c r="G11" s="6">
        <f t="shared" si="1"/>
        <v>0</v>
      </c>
      <c r="H11" s="6">
        <f t="shared" si="2"/>
        <v>33</v>
      </c>
      <c r="J11" s="1">
        <v>9</v>
      </c>
      <c r="K11" s="4">
        <v>2.1226851851851854E-2</v>
      </c>
      <c r="L11" s="1">
        <f t="shared" si="3"/>
        <v>26</v>
      </c>
      <c r="M11" s="6">
        <f t="shared" si="4"/>
        <v>0</v>
      </c>
      <c r="N11" s="6">
        <f t="shared" si="5"/>
        <v>26</v>
      </c>
      <c r="P11" s="1">
        <v>7</v>
      </c>
      <c r="Q11" s="4">
        <v>1.7430555555555557E-2</v>
      </c>
      <c r="R11" s="1">
        <f t="shared" si="6"/>
        <v>28</v>
      </c>
      <c r="S11" s="6">
        <f t="shared" si="7"/>
        <v>0</v>
      </c>
      <c r="T11" s="6">
        <f t="shared" si="8"/>
        <v>28</v>
      </c>
      <c r="V11" s="1">
        <v>4</v>
      </c>
      <c r="W11" s="4">
        <v>3.4270833333333334E-2</v>
      </c>
      <c r="X11" s="1">
        <f t="shared" si="9"/>
        <v>31</v>
      </c>
      <c r="Y11" s="6">
        <f t="shared" si="10"/>
        <v>0</v>
      </c>
      <c r="Z11" s="6">
        <f t="shared" si="11"/>
        <v>31</v>
      </c>
      <c r="AB11" s="1">
        <v>3</v>
      </c>
      <c r="AC11" s="4">
        <v>3.4409722222222223E-2</v>
      </c>
      <c r="AD11" s="1">
        <f t="shared" si="12"/>
        <v>32</v>
      </c>
      <c r="AE11" s="6">
        <f t="shared" si="13"/>
        <v>0</v>
      </c>
      <c r="AF11" s="6">
        <f t="shared" si="14"/>
        <v>32</v>
      </c>
      <c r="AH11" s="1">
        <v>1</v>
      </c>
      <c r="AI11" s="4">
        <v>2.4687499999999998E-2</v>
      </c>
      <c r="AJ11" s="1">
        <f t="shared" si="15"/>
        <v>34</v>
      </c>
      <c r="AK11" s="6">
        <f t="shared" si="16"/>
        <v>0</v>
      </c>
      <c r="AL11" s="6">
        <f t="shared" si="17"/>
        <v>34</v>
      </c>
      <c r="AN11" s="1">
        <f t="shared" si="18"/>
        <v>184</v>
      </c>
      <c r="AO11" s="3">
        <f t="shared" si="19"/>
        <v>184</v>
      </c>
    </row>
    <row r="12" spans="1:41" x14ac:dyDescent="0.2">
      <c r="A12" t="s">
        <v>16</v>
      </c>
      <c r="B12" s="1">
        <v>3</v>
      </c>
      <c r="D12" s="1">
        <v>10</v>
      </c>
      <c r="E12" s="4">
        <v>1.1759259259259259E-2</v>
      </c>
      <c r="F12" s="1">
        <f t="shared" si="0"/>
        <v>25</v>
      </c>
      <c r="G12" s="6">
        <f t="shared" si="1"/>
        <v>10</v>
      </c>
      <c r="H12" s="6">
        <f t="shared" si="2"/>
        <v>35</v>
      </c>
      <c r="J12" s="1">
        <v>10</v>
      </c>
      <c r="K12" s="4">
        <v>2.1342592592592594E-2</v>
      </c>
      <c r="L12" s="1">
        <f t="shared" si="3"/>
        <v>25</v>
      </c>
      <c r="M12" s="6">
        <f t="shared" si="4"/>
        <v>10</v>
      </c>
      <c r="N12" s="6">
        <f t="shared" si="5"/>
        <v>35</v>
      </c>
      <c r="P12" s="1">
        <v>9</v>
      </c>
      <c r="Q12" s="4">
        <v>1.7604166666666667E-2</v>
      </c>
      <c r="R12" s="1">
        <f t="shared" si="6"/>
        <v>26</v>
      </c>
      <c r="S12" s="6">
        <f t="shared" si="7"/>
        <v>10</v>
      </c>
      <c r="T12" s="6">
        <f t="shared" si="8"/>
        <v>35</v>
      </c>
      <c r="V12" s="1">
        <v>16</v>
      </c>
      <c r="W12" s="4">
        <v>3.8032407407407411E-2</v>
      </c>
      <c r="X12" s="1">
        <f t="shared" si="9"/>
        <v>19</v>
      </c>
      <c r="Y12" s="6">
        <f t="shared" si="10"/>
        <v>10</v>
      </c>
      <c r="Z12" s="6">
        <f t="shared" si="11"/>
        <v>29</v>
      </c>
      <c r="AB12" s="1">
        <v>14</v>
      </c>
      <c r="AC12" s="4">
        <v>3.784722222222222E-2</v>
      </c>
      <c r="AD12" s="1">
        <f t="shared" si="12"/>
        <v>21</v>
      </c>
      <c r="AE12" s="6">
        <f t="shared" si="13"/>
        <v>10</v>
      </c>
      <c r="AF12" s="6">
        <f t="shared" si="14"/>
        <v>31</v>
      </c>
      <c r="AH12" s="1">
        <v>7</v>
      </c>
      <c r="AI12" s="4">
        <v>2.5567129629629634E-2</v>
      </c>
      <c r="AJ12" s="1">
        <f t="shared" si="15"/>
        <v>28</v>
      </c>
      <c r="AK12" s="6">
        <f t="shared" si="16"/>
        <v>10</v>
      </c>
      <c r="AL12" s="6">
        <f t="shared" si="17"/>
        <v>35</v>
      </c>
      <c r="AN12" s="1">
        <f t="shared" si="18"/>
        <v>144</v>
      </c>
      <c r="AO12" s="3">
        <f t="shared" si="19"/>
        <v>200</v>
      </c>
    </row>
    <row r="13" spans="1:41" x14ac:dyDescent="0.2">
      <c r="A13" t="s">
        <v>1</v>
      </c>
      <c r="B13" s="1">
        <v>2</v>
      </c>
      <c r="D13" s="1">
        <v>7</v>
      </c>
      <c r="E13" s="4">
        <v>1.1620370370370371E-2</v>
      </c>
      <c r="F13" s="1">
        <f t="shared" si="0"/>
        <v>28</v>
      </c>
      <c r="G13" s="6">
        <f t="shared" si="1"/>
        <v>5</v>
      </c>
      <c r="H13" s="6">
        <f t="shared" si="2"/>
        <v>33</v>
      </c>
      <c r="J13" s="1">
        <v>4</v>
      </c>
      <c r="K13" s="4">
        <v>2.101851851851852E-2</v>
      </c>
      <c r="L13" s="1">
        <f t="shared" si="3"/>
        <v>31</v>
      </c>
      <c r="M13" s="6">
        <f t="shared" si="4"/>
        <v>5</v>
      </c>
      <c r="N13" s="6">
        <f t="shared" si="5"/>
        <v>35</v>
      </c>
      <c r="P13" s="1">
        <v>8</v>
      </c>
      <c r="Q13" s="4">
        <v>1.744212962962963E-2</v>
      </c>
      <c r="R13" s="1">
        <f t="shared" si="6"/>
        <v>27</v>
      </c>
      <c r="S13" s="6">
        <f t="shared" si="7"/>
        <v>5</v>
      </c>
      <c r="T13" s="6">
        <f t="shared" si="8"/>
        <v>32</v>
      </c>
      <c r="V13" s="1">
        <v>12</v>
      </c>
      <c r="W13" s="4">
        <v>3.7291666666666667E-2</v>
      </c>
      <c r="X13" s="1">
        <f t="shared" si="9"/>
        <v>23</v>
      </c>
      <c r="Y13" s="6">
        <f t="shared" si="10"/>
        <v>5</v>
      </c>
      <c r="Z13" s="6">
        <f t="shared" si="11"/>
        <v>28</v>
      </c>
      <c r="AB13" s="1">
        <v>9</v>
      </c>
      <c r="AC13" s="4">
        <v>3.6527777777777777E-2</v>
      </c>
      <c r="AD13" s="1">
        <f t="shared" si="12"/>
        <v>26</v>
      </c>
      <c r="AE13" s="6">
        <f t="shared" si="13"/>
        <v>5</v>
      </c>
      <c r="AF13" s="6">
        <f t="shared" si="14"/>
        <v>31</v>
      </c>
      <c r="AH13" s="1">
        <v>8</v>
      </c>
      <c r="AI13" s="4">
        <v>2.5601851851851851E-2</v>
      </c>
      <c r="AJ13" s="1">
        <f t="shared" si="15"/>
        <v>27</v>
      </c>
      <c r="AK13" s="6">
        <f t="shared" si="16"/>
        <v>5</v>
      </c>
      <c r="AL13" s="6">
        <f t="shared" si="17"/>
        <v>32</v>
      </c>
      <c r="AN13" s="1">
        <f t="shared" si="18"/>
        <v>162</v>
      </c>
      <c r="AO13" s="3">
        <f t="shared" si="19"/>
        <v>191</v>
      </c>
    </row>
    <row r="14" spans="1:41" x14ac:dyDescent="0.2">
      <c r="A14" t="s">
        <v>15</v>
      </c>
      <c r="B14" s="1">
        <v>4</v>
      </c>
      <c r="D14" s="1">
        <v>19</v>
      </c>
      <c r="E14" s="4">
        <v>1.2083333333333333E-2</v>
      </c>
      <c r="F14" s="1">
        <f t="shared" si="0"/>
        <v>16</v>
      </c>
      <c r="G14" s="6">
        <f t="shared" si="1"/>
        <v>15</v>
      </c>
      <c r="H14" s="6">
        <f t="shared" si="2"/>
        <v>31</v>
      </c>
      <c r="J14" s="1">
        <v>12</v>
      </c>
      <c r="K14" s="4">
        <v>2.1516203703703704E-2</v>
      </c>
      <c r="L14" s="1">
        <f t="shared" si="3"/>
        <v>23</v>
      </c>
      <c r="M14" s="6">
        <f t="shared" si="4"/>
        <v>15</v>
      </c>
      <c r="N14" s="6">
        <f t="shared" si="5"/>
        <v>35</v>
      </c>
      <c r="P14" s="1">
        <v>15</v>
      </c>
      <c r="Q14" s="4">
        <v>1.818287037037037E-2</v>
      </c>
      <c r="R14" s="1">
        <f t="shared" si="6"/>
        <v>20</v>
      </c>
      <c r="S14" s="6">
        <f t="shared" si="7"/>
        <v>15</v>
      </c>
      <c r="T14" s="6">
        <f t="shared" si="8"/>
        <v>35</v>
      </c>
      <c r="V14" s="1">
        <v>18</v>
      </c>
      <c r="W14" s="4">
        <v>4.0150462962962964E-2</v>
      </c>
      <c r="X14" s="1">
        <f t="shared" si="9"/>
        <v>17</v>
      </c>
      <c r="Y14" s="6">
        <f t="shared" si="10"/>
        <v>15</v>
      </c>
      <c r="Z14" s="6">
        <f t="shared" si="11"/>
        <v>32</v>
      </c>
      <c r="AB14" s="1">
        <v>15</v>
      </c>
      <c r="AC14" s="4">
        <v>3.78587962962963E-2</v>
      </c>
      <c r="AD14" s="1">
        <f t="shared" si="12"/>
        <v>20</v>
      </c>
      <c r="AE14" s="6">
        <f t="shared" si="13"/>
        <v>15</v>
      </c>
      <c r="AF14" s="6">
        <f t="shared" si="14"/>
        <v>35</v>
      </c>
      <c r="AH14" s="1">
        <v>15</v>
      </c>
      <c r="AI14" s="4">
        <v>2.6388888888888889E-2</v>
      </c>
      <c r="AJ14" s="1">
        <f t="shared" si="15"/>
        <v>20</v>
      </c>
      <c r="AK14" s="6">
        <f t="shared" si="16"/>
        <v>15</v>
      </c>
      <c r="AL14" s="6">
        <f t="shared" si="17"/>
        <v>35</v>
      </c>
      <c r="AN14" s="1">
        <f t="shared" si="18"/>
        <v>116</v>
      </c>
      <c r="AO14" s="3">
        <f t="shared" si="19"/>
        <v>203</v>
      </c>
    </row>
    <row r="15" spans="1:41" x14ac:dyDescent="0.2">
      <c r="A15" t="s">
        <v>25</v>
      </c>
      <c r="B15" s="1">
        <v>3</v>
      </c>
      <c r="D15" s="1">
        <v>15</v>
      </c>
      <c r="E15" s="4">
        <v>1.1967592592592592E-2</v>
      </c>
      <c r="F15" s="1">
        <f t="shared" si="0"/>
        <v>20</v>
      </c>
      <c r="G15" s="6">
        <f t="shared" si="1"/>
        <v>10</v>
      </c>
      <c r="H15" s="6">
        <f t="shared" si="2"/>
        <v>30</v>
      </c>
      <c r="J15" s="1">
        <v>14</v>
      </c>
      <c r="K15" s="4">
        <v>2.1712962962962962E-2</v>
      </c>
      <c r="L15" s="1">
        <f t="shared" si="3"/>
        <v>21</v>
      </c>
      <c r="M15" s="6">
        <f t="shared" si="4"/>
        <v>10</v>
      </c>
      <c r="N15" s="6">
        <f t="shared" si="5"/>
        <v>31</v>
      </c>
      <c r="P15" s="1">
        <v>13</v>
      </c>
      <c r="Q15" s="4">
        <v>1.8124999999999999E-2</v>
      </c>
      <c r="R15" s="1">
        <f t="shared" si="6"/>
        <v>22</v>
      </c>
      <c r="S15" s="6">
        <f t="shared" si="7"/>
        <v>10</v>
      </c>
      <c r="T15" s="6">
        <f t="shared" si="8"/>
        <v>32</v>
      </c>
      <c r="V15" s="1">
        <v>14</v>
      </c>
      <c r="W15" s="4">
        <v>3.7766203703703705E-2</v>
      </c>
      <c r="X15" s="1">
        <f t="shared" si="9"/>
        <v>21</v>
      </c>
      <c r="Y15" s="6">
        <f t="shared" si="10"/>
        <v>10</v>
      </c>
      <c r="Z15" s="6">
        <f t="shared" si="11"/>
        <v>31</v>
      </c>
      <c r="AB15" s="1">
        <v>11</v>
      </c>
      <c r="AC15" s="4">
        <v>3.7256944444444447E-2</v>
      </c>
      <c r="AD15" s="1">
        <f t="shared" si="12"/>
        <v>24</v>
      </c>
      <c r="AE15" s="6">
        <f t="shared" si="13"/>
        <v>10</v>
      </c>
      <c r="AF15" s="6">
        <f t="shared" si="14"/>
        <v>34</v>
      </c>
      <c r="AH15" s="1">
        <v>13</v>
      </c>
      <c r="AI15" s="4">
        <v>2.6030092592592594E-2</v>
      </c>
      <c r="AJ15" s="1">
        <f t="shared" si="15"/>
        <v>22</v>
      </c>
      <c r="AK15" s="6">
        <f t="shared" si="16"/>
        <v>10</v>
      </c>
      <c r="AL15" s="6">
        <f t="shared" si="17"/>
        <v>32</v>
      </c>
      <c r="AN15" s="1">
        <f t="shared" si="18"/>
        <v>130</v>
      </c>
      <c r="AO15" s="3">
        <f t="shared" si="19"/>
        <v>190</v>
      </c>
    </row>
    <row r="16" spans="1:41" x14ac:dyDescent="0.2">
      <c r="A16" t="s">
        <v>10</v>
      </c>
      <c r="B16" s="1">
        <v>2</v>
      </c>
      <c r="D16" s="1">
        <v>13</v>
      </c>
      <c r="E16" s="4">
        <v>1.1840277777777778E-2</v>
      </c>
      <c r="F16" s="1">
        <f t="shared" si="0"/>
        <v>22</v>
      </c>
      <c r="G16" s="6">
        <f t="shared" si="1"/>
        <v>5</v>
      </c>
      <c r="H16" s="6">
        <f t="shared" si="2"/>
        <v>27</v>
      </c>
      <c r="J16" s="1">
        <v>8</v>
      </c>
      <c r="K16" s="4">
        <v>2.1122685185185185E-2</v>
      </c>
      <c r="L16" s="1">
        <f t="shared" si="3"/>
        <v>27</v>
      </c>
      <c r="M16" s="6">
        <f t="shared" si="4"/>
        <v>5</v>
      </c>
      <c r="N16" s="6">
        <f t="shared" si="5"/>
        <v>32</v>
      </c>
      <c r="P16" s="1">
        <v>10</v>
      </c>
      <c r="Q16" s="4">
        <v>1.7627314814814814E-2</v>
      </c>
      <c r="R16" s="1">
        <f t="shared" si="6"/>
        <v>25</v>
      </c>
      <c r="S16" s="6">
        <f t="shared" si="7"/>
        <v>5</v>
      </c>
      <c r="T16" s="6">
        <f t="shared" si="8"/>
        <v>30</v>
      </c>
      <c r="V16" s="1">
        <v>11</v>
      </c>
      <c r="W16" s="4">
        <v>3.7175925925925925E-2</v>
      </c>
      <c r="X16" s="1">
        <f t="shared" si="9"/>
        <v>24</v>
      </c>
      <c r="Y16" s="6">
        <f t="shared" si="10"/>
        <v>5</v>
      </c>
      <c r="Z16" s="6">
        <f t="shared" si="11"/>
        <v>29</v>
      </c>
      <c r="AB16" s="1">
        <v>13</v>
      </c>
      <c r="AC16" s="4">
        <v>3.7615740740740741E-2</v>
      </c>
      <c r="AD16" s="1">
        <f t="shared" si="12"/>
        <v>22</v>
      </c>
      <c r="AE16" s="6">
        <f t="shared" si="13"/>
        <v>5</v>
      </c>
      <c r="AF16" s="6">
        <f t="shared" si="14"/>
        <v>27</v>
      </c>
      <c r="AH16" s="1">
        <v>10</v>
      </c>
      <c r="AI16" s="4">
        <v>2.5902777777777775E-2</v>
      </c>
      <c r="AJ16" s="1">
        <f t="shared" si="15"/>
        <v>25</v>
      </c>
      <c r="AK16" s="6">
        <f t="shared" si="16"/>
        <v>5</v>
      </c>
      <c r="AL16" s="6">
        <f t="shared" si="17"/>
        <v>30</v>
      </c>
      <c r="AN16" s="1">
        <f t="shared" si="18"/>
        <v>145</v>
      </c>
      <c r="AO16" s="3">
        <f t="shared" si="19"/>
        <v>175</v>
      </c>
    </row>
    <row r="17" spans="1:41" x14ac:dyDescent="0.2">
      <c r="A17" t="s">
        <v>9</v>
      </c>
      <c r="B17" s="1">
        <v>2</v>
      </c>
      <c r="D17" s="1">
        <v>8</v>
      </c>
      <c r="E17" s="4">
        <v>1.1724537037037035E-2</v>
      </c>
      <c r="F17" s="1">
        <f t="shared" si="0"/>
        <v>27</v>
      </c>
      <c r="G17" s="6">
        <f t="shared" si="1"/>
        <v>5</v>
      </c>
      <c r="H17" s="6">
        <f t="shared" si="2"/>
        <v>32</v>
      </c>
      <c r="J17" s="1">
        <v>16</v>
      </c>
      <c r="K17" s="4">
        <v>2.1817129629629631E-2</v>
      </c>
      <c r="L17" s="1">
        <f t="shared" si="3"/>
        <v>19</v>
      </c>
      <c r="M17" s="6">
        <f t="shared" si="4"/>
        <v>5</v>
      </c>
      <c r="N17" s="6">
        <f t="shared" si="5"/>
        <v>24</v>
      </c>
      <c r="P17" s="1">
        <v>12</v>
      </c>
      <c r="Q17" s="4">
        <v>1.8113425925925925E-2</v>
      </c>
      <c r="R17" s="1">
        <f t="shared" si="6"/>
        <v>23</v>
      </c>
      <c r="S17" s="6">
        <f t="shared" si="7"/>
        <v>5</v>
      </c>
      <c r="T17" s="6">
        <f t="shared" si="8"/>
        <v>28</v>
      </c>
      <c r="V17" s="1">
        <v>9</v>
      </c>
      <c r="W17" s="4">
        <v>3.6909722222222226E-2</v>
      </c>
      <c r="X17" s="1">
        <f t="shared" si="9"/>
        <v>26</v>
      </c>
      <c r="Y17" s="6">
        <f t="shared" si="10"/>
        <v>5</v>
      </c>
      <c r="Z17" s="6">
        <f t="shared" si="11"/>
        <v>31</v>
      </c>
      <c r="AB17" s="1">
        <v>12</v>
      </c>
      <c r="AC17" s="4">
        <v>3.7326388888888888E-2</v>
      </c>
      <c r="AD17" s="1">
        <f t="shared" si="12"/>
        <v>23</v>
      </c>
      <c r="AE17" s="6">
        <f t="shared" si="13"/>
        <v>5</v>
      </c>
      <c r="AF17" s="6">
        <f t="shared" si="14"/>
        <v>28</v>
      </c>
      <c r="AH17" s="1">
        <v>12</v>
      </c>
      <c r="AI17" s="4">
        <v>2.5937500000000002E-2</v>
      </c>
      <c r="AJ17" s="1">
        <f t="shared" si="15"/>
        <v>23</v>
      </c>
      <c r="AK17" s="6">
        <f t="shared" si="16"/>
        <v>5</v>
      </c>
      <c r="AL17" s="6">
        <f t="shared" si="17"/>
        <v>28</v>
      </c>
      <c r="AN17" s="1">
        <f t="shared" si="18"/>
        <v>141</v>
      </c>
      <c r="AO17" s="3">
        <f t="shared" si="19"/>
        <v>171</v>
      </c>
    </row>
    <row r="18" spans="1:41" x14ac:dyDescent="0.2">
      <c r="A18" t="s">
        <v>11</v>
      </c>
      <c r="B18" s="1">
        <v>2</v>
      </c>
      <c r="D18" s="1">
        <v>17</v>
      </c>
      <c r="E18" s="4">
        <v>1.2013888888888888E-2</v>
      </c>
      <c r="F18" s="1">
        <f t="shared" si="0"/>
        <v>18</v>
      </c>
      <c r="G18" s="6">
        <f t="shared" si="1"/>
        <v>5</v>
      </c>
      <c r="H18" s="6">
        <f t="shared" si="2"/>
        <v>23</v>
      </c>
      <c r="J18" s="1">
        <v>11</v>
      </c>
      <c r="K18" s="4">
        <v>2.1365740740740741E-2</v>
      </c>
      <c r="L18" s="1">
        <f t="shared" si="3"/>
        <v>24</v>
      </c>
      <c r="M18" s="6">
        <f t="shared" si="4"/>
        <v>5</v>
      </c>
      <c r="N18" s="6">
        <f t="shared" si="5"/>
        <v>29</v>
      </c>
      <c r="P18" s="1">
        <v>11</v>
      </c>
      <c r="Q18" s="4">
        <v>1.800925925925926E-2</v>
      </c>
      <c r="R18" s="1">
        <f t="shared" si="6"/>
        <v>24</v>
      </c>
      <c r="S18" s="6">
        <f t="shared" si="7"/>
        <v>5</v>
      </c>
      <c r="T18" s="6">
        <f t="shared" si="8"/>
        <v>29</v>
      </c>
      <c r="V18" s="1">
        <v>7</v>
      </c>
      <c r="W18" s="4">
        <v>3.6076388888888887E-2</v>
      </c>
      <c r="X18" s="1">
        <f t="shared" si="9"/>
        <v>28</v>
      </c>
      <c r="Y18" s="6">
        <f t="shared" si="10"/>
        <v>5</v>
      </c>
      <c r="Z18" s="6">
        <f t="shared" si="11"/>
        <v>33</v>
      </c>
      <c r="AB18" s="1">
        <v>6</v>
      </c>
      <c r="AC18" s="4">
        <v>3.5439814814814813E-2</v>
      </c>
      <c r="AD18" s="1">
        <f t="shared" si="12"/>
        <v>29</v>
      </c>
      <c r="AE18" s="6">
        <f t="shared" si="13"/>
        <v>5</v>
      </c>
      <c r="AF18" s="6">
        <f t="shared" si="14"/>
        <v>34</v>
      </c>
      <c r="AH18" s="1">
        <v>19</v>
      </c>
      <c r="AI18" s="4">
        <v>2.7210648148148147E-2</v>
      </c>
      <c r="AJ18" s="1">
        <f t="shared" si="15"/>
        <v>16</v>
      </c>
      <c r="AK18" s="6">
        <f t="shared" si="16"/>
        <v>5</v>
      </c>
      <c r="AL18" s="6">
        <f t="shared" si="17"/>
        <v>21</v>
      </c>
      <c r="AN18" s="1">
        <f t="shared" si="18"/>
        <v>139</v>
      </c>
      <c r="AO18" s="3">
        <f t="shared" si="19"/>
        <v>169</v>
      </c>
    </row>
    <row r="19" spans="1:41" x14ac:dyDescent="0.2">
      <c r="A19" t="s">
        <v>28</v>
      </c>
      <c r="B19" s="1">
        <v>3</v>
      </c>
      <c r="D19" s="1">
        <v>20</v>
      </c>
      <c r="E19" s="4">
        <v>1.2199074074074072E-2</v>
      </c>
      <c r="F19" s="1">
        <f t="shared" si="0"/>
        <v>15</v>
      </c>
      <c r="G19" s="6">
        <f t="shared" si="1"/>
        <v>10</v>
      </c>
      <c r="H19" s="6">
        <f t="shared" si="2"/>
        <v>25</v>
      </c>
      <c r="J19" s="1">
        <v>20</v>
      </c>
      <c r="K19" s="4">
        <v>2.2465277777777778E-2</v>
      </c>
      <c r="L19" s="1">
        <f t="shared" si="3"/>
        <v>15</v>
      </c>
      <c r="M19" s="6">
        <f t="shared" si="4"/>
        <v>10</v>
      </c>
      <c r="N19" s="6">
        <f t="shared" si="5"/>
        <v>25</v>
      </c>
      <c r="P19" s="1">
        <v>19</v>
      </c>
      <c r="Q19" s="4">
        <v>1.8622685185185183E-2</v>
      </c>
      <c r="R19" s="1">
        <f t="shared" si="6"/>
        <v>16</v>
      </c>
      <c r="S19" s="6">
        <f t="shared" si="7"/>
        <v>10</v>
      </c>
      <c r="T19" s="6">
        <f t="shared" si="8"/>
        <v>26</v>
      </c>
      <c r="V19" s="1">
        <v>17</v>
      </c>
      <c r="W19" s="4">
        <v>3.892361111111111E-2</v>
      </c>
      <c r="X19" s="1">
        <f t="shared" si="9"/>
        <v>18</v>
      </c>
      <c r="Y19" s="6">
        <f t="shared" si="10"/>
        <v>10</v>
      </c>
      <c r="Z19" s="6">
        <f t="shared" si="11"/>
        <v>28</v>
      </c>
      <c r="AB19" s="1">
        <v>16</v>
      </c>
      <c r="AC19" s="4">
        <v>3.8009259259259263E-2</v>
      </c>
      <c r="AD19" s="1">
        <f t="shared" si="12"/>
        <v>19</v>
      </c>
      <c r="AE19" s="6">
        <f t="shared" si="13"/>
        <v>10</v>
      </c>
      <c r="AF19" s="6">
        <f t="shared" si="14"/>
        <v>29</v>
      </c>
      <c r="AH19" s="1">
        <v>11</v>
      </c>
      <c r="AI19" s="4">
        <v>2.5925925925925925E-2</v>
      </c>
      <c r="AJ19" s="1">
        <f t="shared" si="15"/>
        <v>24</v>
      </c>
      <c r="AK19" s="6">
        <f t="shared" si="16"/>
        <v>10</v>
      </c>
      <c r="AL19" s="6">
        <f t="shared" si="17"/>
        <v>34</v>
      </c>
      <c r="AN19" s="1">
        <f t="shared" si="18"/>
        <v>107</v>
      </c>
      <c r="AO19" s="3">
        <f t="shared" si="19"/>
        <v>167</v>
      </c>
    </row>
    <row r="20" spans="1:41" x14ac:dyDescent="0.2">
      <c r="A20" t="s">
        <v>7</v>
      </c>
      <c r="B20" s="1">
        <v>4</v>
      </c>
      <c r="D20" s="1">
        <v>21</v>
      </c>
      <c r="E20" s="4">
        <v>1.2256944444444444E-2</v>
      </c>
      <c r="F20" s="1">
        <f t="shared" si="0"/>
        <v>14</v>
      </c>
      <c r="G20" s="6">
        <f t="shared" si="1"/>
        <v>15</v>
      </c>
      <c r="H20" s="6">
        <f t="shared" si="2"/>
        <v>29</v>
      </c>
      <c r="J20" s="1">
        <v>19</v>
      </c>
      <c r="K20" s="4">
        <v>2.2442129629629631E-2</v>
      </c>
      <c r="L20" s="1">
        <f t="shared" si="3"/>
        <v>16</v>
      </c>
      <c r="M20" s="6">
        <f t="shared" si="4"/>
        <v>15</v>
      </c>
      <c r="N20" s="6">
        <f t="shared" si="5"/>
        <v>31</v>
      </c>
      <c r="P20" s="1">
        <v>18</v>
      </c>
      <c r="Q20" s="4">
        <v>1.8483796296296297E-2</v>
      </c>
      <c r="R20" s="1">
        <f t="shared" si="6"/>
        <v>17</v>
      </c>
      <c r="S20" s="6">
        <f t="shared" si="7"/>
        <v>15</v>
      </c>
      <c r="T20" s="6">
        <f t="shared" si="8"/>
        <v>32</v>
      </c>
      <c r="V20" s="1">
        <v>23</v>
      </c>
      <c r="W20" s="4">
        <v>4.2858796296296298E-2</v>
      </c>
      <c r="X20" s="1">
        <f t="shared" si="9"/>
        <v>12</v>
      </c>
      <c r="Y20" s="6">
        <f t="shared" si="10"/>
        <v>15</v>
      </c>
      <c r="Z20" s="6">
        <f t="shared" si="11"/>
        <v>27</v>
      </c>
      <c r="AB20" s="1">
        <v>22</v>
      </c>
      <c r="AC20" s="4">
        <v>4.2349537037037033E-2</v>
      </c>
      <c r="AD20" s="1">
        <f t="shared" si="12"/>
        <v>13</v>
      </c>
      <c r="AE20" s="6">
        <f t="shared" si="13"/>
        <v>15</v>
      </c>
      <c r="AF20" s="6">
        <f t="shared" si="14"/>
        <v>28</v>
      </c>
      <c r="AH20" s="1">
        <v>20</v>
      </c>
      <c r="AI20" s="4">
        <v>2.7569444444444448E-2</v>
      </c>
      <c r="AJ20" s="1">
        <f t="shared" si="15"/>
        <v>15</v>
      </c>
      <c r="AK20" s="6">
        <f t="shared" si="16"/>
        <v>15</v>
      </c>
      <c r="AL20" s="6">
        <f t="shared" si="17"/>
        <v>30</v>
      </c>
      <c r="AN20" s="1">
        <f t="shared" si="18"/>
        <v>87</v>
      </c>
      <c r="AO20" s="3">
        <f t="shared" si="19"/>
        <v>177</v>
      </c>
    </row>
    <row r="21" spans="1:41" x14ac:dyDescent="0.2">
      <c r="A21" t="s">
        <v>24</v>
      </c>
      <c r="B21" s="1">
        <v>1</v>
      </c>
      <c r="D21" s="1">
        <v>14</v>
      </c>
      <c r="E21" s="4">
        <v>1.1944444444444445E-2</v>
      </c>
      <c r="F21" s="1">
        <f t="shared" si="0"/>
        <v>21</v>
      </c>
      <c r="G21" s="6">
        <f t="shared" si="1"/>
        <v>0</v>
      </c>
      <c r="H21" s="6">
        <f t="shared" si="2"/>
        <v>21</v>
      </c>
      <c r="J21" s="1">
        <v>17</v>
      </c>
      <c r="K21" s="4">
        <v>2.2129629629629628E-2</v>
      </c>
      <c r="L21" s="1">
        <f t="shared" si="3"/>
        <v>18</v>
      </c>
      <c r="M21" s="6">
        <f t="shared" si="4"/>
        <v>0</v>
      </c>
      <c r="N21" s="6">
        <f t="shared" si="5"/>
        <v>18</v>
      </c>
      <c r="P21" s="1">
        <v>16</v>
      </c>
      <c r="Q21" s="4">
        <v>1.8287037037037036E-2</v>
      </c>
      <c r="R21" s="1">
        <f t="shared" si="6"/>
        <v>19</v>
      </c>
      <c r="S21" s="6">
        <f t="shared" si="7"/>
        <v>0</v>
      </c>
      <c r="T21" s="6">
        <f t="shared" si="8"/>
        <v>19</v>
      </c>
      <c r="V21" s="1">
        <v>2</v>
      </c>
      <c r="W21" s="4">
        <v>3.2662037037037038E-2</v>
      </c>
      <c r="X21" s="1">
        <f t="shared" si="9"/>
        <v>33</v>
      </c>
      <c r="Y21" s="6">
        <f t="shared" si="10"/>
        <v>0</v>
      </c>
      <c r="Z21" s="6">
        <f t="shared" si="11"/>
        <v>33</v>
      </c>
      <c r="AB21" s="1">
        <v>10</v>
      </c>
      <c r="AC21" s="4">
        <v>3.6562499999999998E-2</v>
      </c>
      <c r="AD21" s="1">
        <f t="shared" si="12"/>
        <v>25</v>
      </c>
      <c r="AE21" s="6">
        <f t="shared" si="13"/>
        <v>0</v>
      </c>
      <c r="AF21" s="6">
        <f t="shared" si="14"/>
        <v>25</v>
      </c>
      <c r="AH21" s="1">
        <v>5</v>
      </c>
      <c r="AI21" s="4">
        <v>2.5555555555555554E-2</v>
      </c>
      <c r="AJ21" s="1">
        <f t="shared" si="15"/>
        <v>30</v>
      </c>
      <c r="AK21" s="6">
        <f t="shared" si="16"/>
        <v>0</v>
      </c>
      <c r="AL21" s="6">
        <f t="shared" si="17"/>
        <v>30</v>
      </c>
      <c r="AN21" s="1">
        <f t="shared" si="18"/>
        <v>146</v>
      </c>
      <c r="AO21" s="3">
        <f t="shared" si="19"/>
        <v>146</v>
      </c>
    </row>
    <row r="22" spans="1:41" x14ac:dyDescent="0.2">
      <c r="A22" t="s">
        <v>23</v>
      </c>
      <c r="B22" s="1">
        <v>4</v>
      </c>
      <c r="D22" s="1">
        <v>18</v>
      </c>
      <c r="E22" s="4">
        <v>1.2025462962962962E-2</v>
      </c>
      <c r="F22" s="1">
        <f t="shared" si="0"/>
        <v>17</v>
      </c>
      <c r="G22" s="6">
        <f t="shared" si="1"/>
        <v>15</v>
      </c>
      <c r="H22" s="6">
        <f t="shared" si="2"/>
        <v>32</v>
      </c>
      <c r="J22" s="1">
        <v>15</v>
      </c>
      <c r="K22" s="4">
        <v>2.1770833333333336E-2</v>
      </c>
      <c r="L22" s="1">
        <f t="shared" si="3"/>
        <v>20</v>
      </c>
      <c r="M22" s="6">
        <f t="shared" si="4"/>
        <v>15</v>
      </c>
      <c r="N22" s="6">
        <f t="shared" si="5"/>
        <v>35</v>
      </c>
      <c r="P22" s="1">
        <v>26</v>
      </c>
      <c r="Q22" s="4">
        <v>1.9398148148148147E-2</v>
      </c>
      <c r="R22" s="1">
        <f t="shared" si="6"/>
        <v>9</v>
      </c>
      <c r="S22" s="6">
        <f t="shared" si="7"/>
        <v>15</v>
      </c>
      <c r="T22" s="6">
        <f t="shared" si="8"/>
        <v>24</v>
      </c>
      <c r="W22" s="4"/>
      <c r="X22" s="1">
        <f t="shared" si="9"/>
        <v>0</v>
      </c>
      <c r="Y22" s="6">
        <f t="shared" si="10"/>
        <v>15</v>
      </c>
      <c r="Z22" s="6">
        <f t="shared" si="11"/>
        <v>15</v>
      </c>
      <c r="AC22" s="4"/>
      <c r="AD22" s="1">
        <f t="shared" si="12"/>
        <v>0</v>
      </c>
      <c r="AE22" s="6">
        <f t="shared" si="13"/>
        <v>15</v>
      </c>
      <c r="AF22" s="6">
        <f t="shared" si="14"/>
        <v>15</v>
      </c>
      <c r="AJ22" s="1">
        <f t="shared" si="15"/>
        <v>0</v>
      </c>
      <c r="AK22" s="6">
        <f t="shared" si="16"/>
        <v>15</v>
      </c>
      <c r="AL22" s="6">
        <f t="shared" si="17"/>
        <v>15</v>
      </c>
      <c r="AN22" s="1">
        <f t="shared" si="18"/>
        <v>46</v>
      </c>
      <c r="AO22" s="3">
        <f t="shared" si="19"/>
        <v>136</v>
      </c>
    </row>
    <row r="23" spans="1:41" x14ac:dyDescent="0.2">
      <c r="A23" t="s">
        <v>27</v>
      </c>
      <c r="B23" s="1">
        <v>3</v>
      </c>
      <c r="D23" s="1">
        <v>15</v>
      </c>
      <c r="E23" s="4">
        <v>1.1967592592592592E-2</v>
      </c>
      <c r="F23" s="1">
        <f t="shared" si="0"/>
        <v>20</v>
      </c>
      <c r="G23" s="6">
        <f t="shared" si="1"/>
        <v>10</v>
      </c>
      <c r="H23" s="6">
        <f t="shared" si="2"/>
        <v>30</v>
      </c>
      <c r="J23" s="1">
        <v>20</v>
      </c>
      <c r="K23" s="4">
        <v>2.2465277777777778E-2</v>
      </c>
      <c r="L23" s="1">
        <f t="shared" si="3"/>
        <v>15</v>
      </c>
      <c r="M23" s="6">
        <f t="shared" si="4"/>
        <v>10</v>
      </c>
      <c r="N23" s="6">
        <f t="shared" si="5"/>
        <v>25</v>
      </c>
      <c r="P23" s="1">
        <v>22</v>
      </c>
      <c r="Q23" s="4">
        <v>1.8796296296296297E-2</v>
      </c>
      <c r="R23" s="1">
        <f t="shared" si="6"/>
        <v>13</v>
      </c>
      <c r="S23" s="6">
        <f t="shared" si="7"/>
        <v>10</v>
      </c>
      <c r="T23" s="6">
        <f t="shared" si="8"/>
        <v>23</v>
      </c>
      <c r="V23" s="1">
        <v>13</v>
      </c>
      <c r="W23" s="4">
        <v>3.7372685185185189E-2</v>
      </c>
      <c r="X23" s="1">
        <f t="shared" si="9"/>
        <v>22</v>
      </c>
      <c r="Y23" s="6">
        <f t="shared" si="10"/>
        <v>10</v>
      </c>
      <c r="Z23" s="6">
        <f t="shared" si="11"/>
        <v>32</v>
      </c>
      <c r="AB23" s="1">
        <v>18</v>
      </c>
      <c r="AC23" s="4">
        <v>3.8842592592592588E-2</v>
      </c>
      <c r="AD23" s="1">
        <f t="shared" si="12"/>
        <v>17</v>
      </c>
      <c r="AE23" s="6">
        <f t="shared" si="13"/>
        <v>10</v>
      </c>
      <c r="AF23" s="6">
        <f t="shared" si="14"/>
        <v>27</v>
      </c>
      <c r="AI23" s="4"/>
      <c r="AJ23" s="1">
        <f t="shared" si="15"/>
        <v>0</v>
      </c>
      <c r="AK23" s="6">
        <f t="shared" si="16"/>
        <v>10</v>
      </c>
      <c r="AL23" s="6">
        <f t="shared" si="17"/>
        <v>10</v>
      </c>
      <c r="AN23" s="1">
        <f t="shared" si="18"/>
        <v>87</v>
      </c>
      <c r="AO23" s="3">
        <f t="shared" si="19"/>
        <v>147</v>
      </c>
    </row>
    <row r="24" spans="1:41" x14ac:dyDescent="0.2">
      <c r="A24" t="s">
        <v>14</v>
      </c>
      <c r="B24" s="1">
        <v>4</v>
      </c>
      <c r="F24" s="1">
        <f t="shared" si="0"/>
        <v>0</v>
      </c>
      <c r="G24" s="6">
        <f t="shared" si="1"/>
        <v>15</v>
      </c>
      <c r="H24" s="6">
        <f t="shared" si="2"/>
        <v>15</v>
      </c>
      <c r="J24" s="1">
        <v>23</v>
      </c>
      <c r="K24" s="4">
        <v>2.2951388888888886E-2</v>
      </c>
      <c r="L24" s="1">
        <f t="shared" si="3"/>
        <v>12</v>
      </c>
      <c r="M24" s="6">
        <f t="shared" si="4"/>
        <v>15</v>
      </c>
      <c r="N24" s="6">
        <f t="shared" si="5"/>
        <v>27</v>
      </c>
      <c r="P24" s="1">
        <v>21</v>
      </c>
      <c r="Q24" s="4">
        <v>1.8680555555555554E-2</v>
      </c>
      <c r="R24" s="1">
        <f t="shared" si="6"/>
        <v>14</v>
      </c>
      <c r="S24" s="6">
        <f t="shared" si="7"/>
        <v>15</v>
      </c>
      <c r="T24" s="6">
        <f t="shared" si="8"/>
        <v>29</v>
      </c>
      <c r="V24" s="1">
        <v>21</v>
      </c>
      <c r="W24" s="4">
        <v>4.1979166666666672E-2</v>
      </c>
      <c r="X24" s="1">
        <f t="shared" si="9"/>
        <v>14</v>
      </c>
      <c r="Y24" s="6">
        <f t="shared" si="10"/>
        <v>15</v>
      </c>
      <c r="Z24" s="6">
        <f t="shared" si="11"/>
        <v>29</v>
      </c>
      <c r="AB24" s="1">
        <v>21</v>
      </c>
      <c r="AC24" s="4">
        <v>4.1226851851851855E-2</v>
      </c>
      <c r="AD24" s="1">
        <f t="shared" si="12"/>
        <v>14</v>
      </c>
      <c r="AE24" s="6">
        <f t="shared" si="13"/>
        <v>15</v>
      </c>
      <c r="AF24" s="6">
        <f t="shared" si="14"/>
        <v>29</v>
      </c>
      <c r="AH24" s="1">
        <v>17</v>
      </c>
      <c r="AI24" s="4">
        <v>2.6990740740740742E-2</v>
      </c>
      <c r="AJ24" s="1">
        <f t="shared" si="15"/>
        <v>18</v>
      </c>
      <c r="AK24" s="6">
        <f t="shared" si="16"/>
        <v>15</v>
      </c>
      <c r="AL24" s="6">
        <f t="shared" si="17"/>
        <v>33</v>
      </c>
      <c r="AN24" s="1">
        <f t="shared" si="18"/>
        <v>72</v>
      </c>
      <c r="AO24" s="3">
        <f t="shared" si="19"/>
        <v>162</v>
      </c>
    </row>
    <row r="25" spans="1:41" x14ac:dyDescent="0.2">
      <c r="A25" t="s">
        <v>4</v>
      </c>
      <c r="B25" s="1">
        <v>4</v>
      </c>
      <c r="D25" s="1">
        <v>27</v>
      </c>
      <c r="E25" s="4">
        <v>1.2604166666666666E-2</v>
      </c>
      <c r="F25" s="1">
        <f t="shared" si="0"/>
        <v>8</v>
      </c>
      <c r="G25" s="6">
        <f t="shared" si="1"/>
        <v>15</v>
      </c>
      <c r="H25" s="6">
        <f t="shared" si="2"/>
        <v>23</v>
      </c>
      <c r="J25" s="1">
        <v>22</v>
      </c>
      <c r="K25" s="4">
        <v>2.2534722222222223E-2</v>
      </c>
      <c r="L25" s="1">
        <f t="shared" si="3"/>
        <v>13</v>
      </c>
      <c r="M25" s="6">
        <f t="shared" si="4"/>
        <v>15</v>
      </c>
      <c r="N25" s="6">
        <f t="shared" si="5"/>
        <v>28</v>
      </c>
      <c r="P25" s="1">
        <v>25</v>
      </c>
      <c r="Q25" s="4">
        <v>1.9178240740740742E-2</v>
      </c>
      <c r="R25" s="1">
        <f t="shared" si="6"/>
        <v>10</v>
      </c>
      <c r="S25" s="6">
        <f t="shared" si="7"/>
        <v>15</v>
      </c>
      <c r="T25" s="6">
        <f t="shared" si="8"/>
        <v>25</v>
      </c>
      <c r="V25" s="1">
        <v>22</v>
      </c>
      <c r="W25" s="4">
        <v>4.2546296296296297E-2</v>
      </c>
      <c r="X25" s="1">
        <f t="shared" si="9"/>
        <v>13</v>
      </c>
      <c r="Y25" s="6">
        <f t="shared" si="10"/>
        <v>15</v>
      </c>
      <c r="Z25" s="6">
        <f t="shared" si="11"/>
        <v>28</v>
      </c>
      <c r="AB25" s="1">
        <v>19</v>
      </c>
      <c r="AC25" s="4">
        <v>3.9918981481481479E-2</v>
      </c>
      <c r="AD25" s="1">
        <f t="shared" si="12"/>
        <v>16</v>
      </c>
      <c r="AE25" s="6">
        <f t="shared" si="13"/>
        <v>15</v>
      </c>
      <c r="AF25" s="6">
        <f t="shared" si="14"/>
        <v>31</v>
      </c>
      <c r="AH25" s="1">
        <v>18</v>
      </c>
      <c r="AI25" s="4">
        <v>2.7164351851851853E-2</v>
      </c>
      <c r="AJ25" s="1">
        <f t="shared" si="15"/>
        <v>17</v>
      </c>
      <c r="AK25" s="6">
        <f t="shared" si="16"/>
        <v>15</v>
      </c>
      <c r="AL25" s="6">
        <f t="shared" si="17"/>
        <v>32</v>
      </c>
      <c r="AN25" s="1">
        <f t="shared" si="18"/>
        <v>77</v>
      </c>
      <c r="AO25" s="3">
        <f t="shared" si="19"/>
        <v>167</v>
      </c>
    </row>
    <row r="26" spans="1:41" x14ac:dyDescent="0.2">
      <c r="A26" t="s">
        <v>17</v>
      </c>
      <c r="B26" s="1">
        <v>3</v>
      </c>
      <c r="D26" s="1">
        <v>22</v>
      </c>
      <c r="E26" s="4">
        <v>1.2314814814814815E-2</v>
      </c>
      <c r="F26" s="1">
        <f t="shared" si="0"/>
        <v>13</v>
      </c>
      <c r="G26" s="6">
        <f t="shared" si="1"/>
        <v>10</v>
      </c>
      <c r="H26" s="6">
        <f t="shared" si="2"/>
        <v>23</v>
      </c>
      <c r="J26" s="1">
        <v>24</v>
      </c>
      <c r="K26" s="4">
        <v>2.297453703703704E-2</v>
      </c>
      <c r="L26" s="1">
        <f t="shared" si="3"/>
        <v>11</v>
      </c>
      <c r="M26" s="6">
        <f t="shared" si="4"/>
        <v>10</v>
      </c>
      <c r="N26" s="6">
        <f t="shared" si="5"/>
        <v>21</v>
      </c>
      <c r="P26" s="1">
        <v>17</v>
      </c>
      <c r="Q26" s="4">
        <v>1.834490740740741E-2</v>
      </c>
      <c r="R26" s="1">
        <f t="shared" si="6"/>
        <v>18</v>
      </c>
      <c r="S26" s="6">
        <f t="shared" si="7"/>
        <v>10</v>
      </c>
      <c r="T26" s="6">
        <f t="shared" si="8"/>
        <v>28</v>
      </c>
      <c r="V26" s="1">
        <v>15</v>
      </c>
      <c r="W26" s="4">
        <v>3.788194444444444E-2</v>
      </c>
      <c r="X26" s="1">
        <f t="shared" si="9"/>
        <v>20</v>
      </c>
      <c r="Y26" s="6">
        <f t="shared" si="10"/>
        <v>10</v>
      </c>
      <c r="Z26" s="6">
        <f t="shared" si="11"/>
        <v>30</v>
      </c>
      <c r="AB26" s="1">
        <v>17</v>
      </c>
      <c r="AC26" s="4">
        <v>3.8726851851851853E-2</v>
      </c>
      <c r="AD26" s="1">
        <f t="shared" si="12"/>
        <v>18</v>
      </c>
      <c r="AE26" s="6">
        <f t="shared" si="13"/>
        <v>10</v>
      </c>
      <c r="AF26" s="6">
        <f t="shared" si="14"/>
        <v>28</v>
      </c>
      <c r="AH26" s="1">
        <v>21</v>
      </c>
      <c r="AI26" s="4">
        <v>2.7627314814814813E-2</v>
      </c>
      <c r="AJ26" s="1">
        <f t="shared" si="15"/>
        <v>14</v>
      </c>
      <c r="AK26" s="6">
        <f t="shared" si="16"/>
        <v>10</v>
      </c>
      <c r="AL26" s="6">
        <f t="shared" si="17"/>
        <v>24</v>
      </c>
      <c r="AN26" s="1">
        <f t="shared" si="18"/>
        <v>94</v>
      </c>
      <c r="AO26" s="3">
        <f t="shared" si="19"/>
        <v>154</v>
      </c>
    </row>
    <row r="27" spans="1:41" x14ac:dyDescent="0.2">
      <c r="A27" t="s">
        <v>8</v>
      </c>
      <c r="B27" s="1">
        <v>3</v>
      </c>
      <c r="D27" s="1">
        <v>25</v>
      </c>
      <c r="E27" s="4">
        <v>1.2407407407407409E-2</v>
      </c>
      <c r="F27" s="1">
        <f t="shared" si="0"/>
        <v>10</v>
      </c>
      <c r="G27" s="6">
        <f t="shared" si="1"/>
        <v>10</v>
      </c>
      <c r="H27" s="6">
        <f t="shared" si="2"/>
        <v>20</v>
      </c>
      <c r="J27" s="1">
        <v>18</v>
      </c>
      <c r="K27" s="4">
        <v>2.2349537037037032E-2</v>
      </c>
      <c r="L27" s="1">
        <f t="shared" si="3"/>
        <v>17</v>
      </c>
      <c r="M27" s="6">
        <f t="shared" si="4"/>
        <v>10</v>
      </c>
      <c r="N27" s="6">
        <f t="shared" si="5"/>
        <v>27</v>
      </c>
      <c r="P27" s="1">
        <v>23</v>
      </c>
      <c r="Q27" s="4">
        <v>1.8865740740740742E-2</v>
      </c>
      <c r="R27" s="1">
        <f t="shared" si="6"/>
        <v>12</v>
      </c>
      <c r="S27" s="6">
        <f t="shared" si="7"/>
        <v>10</v>
      </c>
      <c r="T27" s="6">
        <f t="shared" si="8"/>
        <v>22</v>
      </c>
      <c r="V27" s="1">
        <v>19</v>
      </c>
      <c r="W27" s="4">
        <v>4.1250000000000002E-2</v>
      </c>
      <c r="X27" s="1">
        <f t="shared" si="9"/>
        <v>16</v>
      </c>
      <c r="Y27" s="6">
        <f t="shared" si="10"/>
        <v>10</v>
      </c>
      <c r="Z27" s="6">
        <f t="shared" si="11"/>
        <v>26</v>
      </c>
      <c r="AB27" s="1">
        <v>20</v>
      </c>
      <c r="AC27" s="4">
        <v>3.9976851851851854E-2</v>
      </c>
      <c r="AD27" s="1">
        <f t="shared" si="12"/>
        <v>15</v>
      </c>
      <c r="AE27" s="6">
        <f t="shared" si="13"/>
        <v>10</v>
      </c>
      <c r="AF27" s="6">
        <f t="shared" si="14"/>
        <v>25</v>
      </c>
      <c r="AH27" s="1">
        <v>13</v>
      </c>
      <c r="AI27" s="4">
        <v>2.6030092592592594E-2</v>
      </c>
      <c r="AJ27" s="1">
        <f t="shared" si="15"/>
        <v>22</v>
      </c>
      <c r="AK27" s="6">
        <f t="shared" si="16"/>
        <v>10</v>
      </c>
      <c r="AL27" s="6">
        <f t="shared" si="17"/>
        <v>32</v>
      </c>
      <c r="AN27" s="1">
        <f t="shared" si="18"/>
        <v>92</v>
      </c>
      <c r="AO27" s="3">
        <f t="shared" si="19"/>
        <v>152</v>
      </c>
    </row>
    <row r="28" spans="1:41" x14ac:dyDescent="0.2">
      <c r="A28" t="s">
        <v>22</v>
      </c>
      <c r="B28" s="1">
        <v>4</v>
      </c>
      <c r="D28" s="1">
        <v>23</v>
      </c>
      <c r="E28" s="4">
        <v>1.2372685185185186E-2</v>
      </c>
      <c r="F28" s="1">
        <f t="shared" si="0"/>
        <v>12</v>
      </c>
      <c r="G28" s="6">
        <f t="shared" si="1"/>
        <v>15</v>
      </c>
      <c r="H28" s="6">
        <f t="shared" si="2"/>
        <v>27</v>
      </c>
      <c r="L28" s="1">
        <f t="shared" si="3"/>
        <v>0</v>
      </c>
      <c r="M28" s="6">
        <f t="shared" si="4"/>
        <v>15</v>
      </c>
      <c r="N28" s="6">
        <f t="shared" si="5"/>
        <v>15</v>
      </c>
      <c r="R28" s="1">
        <f t="shared" si="6"/>
        <v>0</v>
      </c>
      <c r="S28" s="6">
        <f t="shared" si="7"/>
        <v>15</v>
      </c>
      <c r="T28" s="6">
        <f t="shared" si="8"/>
        <v>15</v>
      </c>
      <c r="X28" s="1">
        <f t="shared" si="9"/>
        <v>0</v>
      </c>
      <c r="Y28" s="6">
        <f t="shared" si="10"/>
        <v>15</v>
      </c>
      <c r="Z28" s="6">
        <f t="shared" si="11"/>
        <v>15</v>
      </c>
      <c r="AD28" s="1">
        <f t="shared" si="12"/>
        <v>0</v>
      </c>
      <c r="AE28" s="6">
        <f t="shared" si="13"/>
        <v>15</v>
      </c>
      <c r="AF28" s="6">
        <f t="shared" si="14"/>
        <v>15</v>
      </c>
      <c r="AJ28" s="1">
        <f t="shared" si="15"/>
        <v>0</v>
      </c>
      <c r="AK28" s="6">
        <f t="shared" si="16"/>
        <v>15</v>
      </c>
      <c r="AL28" s="6">
        <f t="shared" si="17"/>
        <v>15</v>
      </c>
      <c r="AN28" s="1">
        <f t="shared" si="18"/>
        <v>12</v>
      </c>
      <c r="AO28" s="3">
        <f t="shared" si="19"/>
        <v>102</v>
      </c>
    </row>
    <row r="29" spans="1:41" x14ac:dyDescent="0.2">
      <c r="A29" t="s">
        <v>6</v>
      </c>
      <c r="B29" s="1">
        <v>2</v>
      </c>
      <c r="D29" s="1">
        <v>11</v>
      </c>
      <c r="E29" s="4">
        <v>1.1770833333333333E-2</v>
      </c>
      <c r="F29" s="1">
        <f t="shared" si="0"/>
        <v>24</v>
      </c>
      <c r="G29" s="6">
        <f t="shared" si="1"/>
        <v>5</v>
      </c>
      <c r="H29" s="6">
        <f t="shared" si="2"/>
        <v>29</v>
      </c>
      <c r="J29" s="1">
        <v>13</v>
      </c>
      <c r="K29" s="4">
        <v>2.164351851851852E-2</v>
      </c>
      <c r="L29" s="1">
        <f t="shared" si="3"/>
        <v>22</v>
      </c>
      <c r="M29" s="6">
        <f t="shared" si="4"/>
        <v>5</v>
      </c>
      <c r="N29" s="6">
        <f t="shared" si="5"/>
        <v>27</v>
      </c>
      <c r="P29" s="1">
        <v>14</v>
      </c>
      <c r="Q29" s="4">
        <v>1.8159722222222219E-2</v>
      </c>
      <c r="R29" s="1">
        <f t="shared" si="6"/>
        <v>21</v>
      </c>
      <c r="S29" s="6">
        <f t="shared" si="7"/>
        <v>5</v>
      </c>
      <c r="T29" s="6">
        <f t="shared" si="8"/>
        <v>26</v>
      </c>
      <c r="W29" s="4"/>
      <c r="X29" s="1">
        <f t="shared" si="9"/>
        <v>0</v>
      </c>
      <c r="Y29" s="6">
        <f t="shared" si="10"/>
        <v>5</v>
      </c>
      <c r="Z29" s="6">
        <f t="shared" si="11"/>
        <v>5</v>
      </c>
      <c r="AC29" s="4"/>
      <c r="AD29" s="1">
        <f t="shared" si="12"/>
        <v>0</v>
      </c>
      <c r="AE29" s="6">
        <f t="shared" si="13"/>
        <v>5</v>
      </c>
      <c r="AF29" s="6">
        <f t="shared" si="14"/>
        <v>5</v>
      </c>
      <c r="AJ29" s="1">
        <f t="shared" si="15"/>
        <v>0</v>
      </c>
      <c r="AK29" s="6">
        <f t="shared" si="16"/>
        <v>5</v>
      </c>
      <c r="AL29" s="6">
        <f t="shared" si="17"/>
        <v>5</v>
      </c>
      <c r="AN29" s="1">
        <f t="shared" si="18"/>
        <v>67</v>
      </c>
      <c r="AO29" s="3">
        <f t="shared" si="19"/>
        <v>97</v>
      </c>
    </row>
    <row r="30" spans="1:41" x14ac:dyDescent="0.2">
      <c r="A30" t="s">
        <v>2</v>
      </c>
      <c r="B30" s="1">
        <v>4</v>
      </c>
      <c r="D30" s="1">
        <v>28</v>
      </c>
      <c r="E30" s="4">
        <v>1.3020833333333334E-2</v>
      </c>
      <c r="F30" s="1">
        <f t="shared" si="0"/>
        <v>7</v>
      </c>
      <c r="G30" s="6">
        <f t="shared" si="1"/>
        <v>15</v>
      </c>
      <c r="H30" s="6">
        <f t="shared" si="2"/>
        <v>22</v>
      </c>
      <c r="J30" s="1">
        <v>25</v>
      </c>
      <c r="K30" s="4">
        <v>2.2997685185185187E-2</v>
      </c>
      <c r="L30" s="1">
        <f t="shared" si="3"/>
        <v>10</v>
      </c>
      <c r="M30" s="6">
        <f t="shared" si="4"/>
        <v>15</v>
      </c>
      <c r="N30" s="6">
        <f t="shared" si="5"/>
        <v>25</v>
      </c>
      <c r="P30" s="1">
        <v>27</v>
      </c>
      <c r="Q30" s="4">
        <v>2.0057870370370368E-2</v>
      </c>
      <c r="R30" s="1">
        <f t="shared" si="6"/>
        <v>8</v>
      </c>
      <c r="S30" s="6">
        <f t="shared" si="7"/>
        <v>15</v>
      </c>
      <c r="T30" s="6">
        <f t="shared" si="8"/>
        <v>23</v>
      </c>
      <c r="W30" s="4"/>
      <c r="X30" s="1">
        <f t="shared" si="9"/>
        <v>0</v>
      </c>
      <c r="Y30" s="6">
        <f t="shared" si="10"/>
        <v>15</v>
      </c>
      <c r="Z30" s="6">
        <f t="shared" si="11"/>
        <v>15</v>
      </c>
      <c r="AB30" s="1">
        <v>23</v>
      </c>
      <c r="AC30" s="4">
        <v>4.3761574074074078E-2</v>
      </c>
      <c r="AD30" s="1">
        <f t="shared" si="12"/>
        <v>12</v>
      </c>
      <c r="AE30" s="6">
        <f t="shared" si="13"/>
        <v>15</v>
      </c>
      <c r="AF30" s="6">
        <f t="shared" si="14"/>
        <v>27</v>
      </c>
      <c r="AI30" s="4"/>
      <c r="AJ30" s="1">
        <f t="shared" si="15"/>
        <v>0</v>
      </c>
      <c r="AK30" s="6">
        <f t="shared" si="16"/>
        <v>15</v>
      </c>
      <c r="AL30" s="6">
        <f t="shared" si="17"/>
        <v>15</v>
      </c>
      <c r="AN30" s="1">
        <f t="shared" si="18"/>
        <v>37</v>
      </c>
      <c r="AO30" s="3">
        <f t="shared" si="19"/>
        <v>127</v>
      </c>
    </row>
    <row r="31" spans="1:41" x14ac:dyDescent="0.2">
      <c r="A31" t="s">
        <v>26</v>
      </c>
      <c r="B31" s="1">
        <v>4</v>
      </c>
      <c r="D31" s="1">
        <v>26</v>
      </c>
      <c r="E31" s="4">
        <v>1.2546296296296297E-2</v>
      </c>
      <c r="F31" s="1">
        <f t="shared" si="0"/>
        <v>9</v>
      </c>
      <c r="G31" s="6">
        <f t="shared" si="1"/>
        <v>15</v>
      </c>
      <c r="H31" s="6">
        <f t="shared" si="2"/>
        <v>24</v>
      </c>
      <c r="K31" s="4"/>
      <c r="L31" s="1">
        <f t="shared" si="3"/>
        <v>0</v>
      </c>
      <c r="M31" s="6">
        <f t="shared" si="4"/>
        <v>15</v>
      </c>
      <c r="N31" s="6">
        <f t="shared" si="5"/>
        <v>15</v>
      </c>
      <c r="Q31" s="4"/>
      <c r="R31" s="1">
        <f t="shared" si="6"/>
        <v>0</v>
      </c>
      <c r="S31" s="6">
        <f t="shared" si="7"/>
        <v>15</v>
      </c>
      <c r="T31" s="6">
        <f t="shared" si="8"/>
        <v>15</v>
      </c>
      <c r="W31" s="4"/>
      <c r="X31" s="1">
        <f t="shared" si="9"/>
        <v>0</v>
      </c>
      <c r="Y31" s="6">
        <f t="shared" si="10"/>
        <v>15</v>
      </c>
      <c r="Z31" s="6">
        <f t="shared" si="11"/>
        <v>15</v>
      </c>
      <c r="AD31" s="1">
        <f t="shared" si="12"/>
        <v>0</v>
      </c>
      <c r="AE31" s="6">
        <f t="shared" si="13"/>
        <v>15</v>
      </c>
      <c r="AF31" s="6">
        <f t="shared" si="14"/>
        <v>15</v>
      </c>
      <c r="AI31" s="4"/>
      <c r="AJ31" s="1">
        <f t="shared" si="15"/>
        <v>0</v>
      </c>
      <c r="AK31" s="6">
        <f t="shared" si="16"/>
        <v>15</v>
      </c>
      <c r="AL31" s="6">
        <f t="shared" si="17"/>
        <v>15</v>
      </c>
      <c r="AN31" s="1">
        <f t="shared" si="18"/>
        <v>9</v>
      </c>
      <c r="AO31" s="3">
        <f t="shared" si="19"/>
        <v>99</v>
      </c>
    </row>
    <row r="32" spans="1:41" x14ac:dyDescent="0.2">
      <c r="A32" t="s">
        <v>29</v>
      </c>
      <c r="B32" s="1">
        <v>3</v>
      </c>
      <c r="D32" s="1">
        <v>12</v>
      </c>
      <c r="E32" s="4">
        <v>1.1805555555555555E-2</v>
      </c>
      <c r="F32" s="1">
        <f t="shared" si="0"/>
        <v>23</v>
      </c>
      <c r="G32" s="6">
        <f t="shared" si="1"/>
        <v>10</v>
      </c>
      <c r="H32" s="6">
        <f t="shared" si="2"/>
        <v>33</v>
      </c>
      <c r="K32" s="4"/>
      <c r="L32" s="1">
        <f t="shared" si="3"/>
        <v>0</v>
      </c>
      <c r="M32" s="6">
        <f t="shared" si="4"/>
        <v>10</v>
      </c>
      <c r="N32" s="6">
        <f t="shared" si="5"/>
        <v>10</v>
      </c>
      <c r="P32" s="1">
        <v>24</v>
      </c>
      <c r="Q32" s="4">
        <v>1.8958333333333334E-2</v>
      </c>
      <c r="R32" s="1">
        <f t="shared" si="6"/>
        <v>11</v>
      </c>
      <c r="S32" s="6">
        <f t="shared" si="7"/>
        <v>10</v>
      </c>
      <c r="T32" s="6">
        <f t="shared" si="8"/>
        <v>21</v>
      </c>
      <c r="W32" s="4"/>
      <c r="X32" s="1">
        <f t="shared" si="9"/>
        <v>0</v>
      </c>
      <c r="Y32" s="6">
        <f t="shared" si="10"/>
        <v>10</v>
      </c>
      <c r="Z32" s="6">
        <f t="shared" si="11"/>
        <v>10</v>
      </c>
      <c r="AD32" s="1">
        <f t="shared" si="12"/>
        <v>0</v>
      </c>
      <c r="AE32" s="6">
        <f t="shared" si="13"/>
        <v>10</v>
      </c>
      <c r="AF32" s="6">
        <f t="shared" si="14"/>
        <v>10</v>
      </c>
      <c r="AI32" s="4"/>
      <c r="AJ32" s="1">
        <f t="shared" si="15"/>
        <v>0</v>
      </c>
      <c r="AK32" s="6">
        <f t="shared" si="16"/>
        <v>10</v>
      </c>
      <c r="AL32" s="6">
        <f t="shared" si="17"/>
        <v>10</v>
      </c>
      <c r="AN32" s="1">
        <f t="shared" si="18"/>
        <v>34</v>
      </c>
      <c r="AO32" s="3">
        <f t="shared" si="19"/>
        <v>94</v>
      </c>
    </row>
    <row r="33" spans="1:41" x14ac:dyDescent="0.2">
      <c r="A33" t="s">
        <v>3</v>
      </c>
      <c r="B33" s="1">
        <v>4</v>
      </c>
      <c r="E33" s="4"/>
      <c r="F33" s="1">
        <f t="shared" si="0"/>
        <v>0</v>
      </c>
      <c r="G33" s="6">
        <f t="shared" si="1"/>
        <v>15</v>
      </c>
      <c r="H33" s="6">
        <f t="shared" si="2"/>
        <v>15</v>
      </c>
      <c r="K33" s="4"/>
      <c r="L33" s="1">
        <f t="shared" si="3"/>
        <v>0</v>
      </c>
      <c r="M33" s="6">
        <f t="shared" si="4"/>
        <v>15</v>
      </c>
      <c r="N33" s="6">
        <f t="shared" si="5"/>
        <v>15</v>
      </c>
      <c r="R33" s="1">
        <f t="shared" si="6"/>
        <v>0</v>
      </c>
      <c r="S33" s="6">
        <f t="shared" si="7"/>
        <v>15</v>
      </c>
      <c r="T33" s="6">
        <f t="shared" si="8"/>
        <v>15</v>
      </c>
      <c r="X33" s="1">
        <f t="shared" si="9"/>
        <v>0</v>
      </c>
      <c r="Y33" s="6">
        <f t="shared" si="10"/>
        <v>15</v>
      </c>
      <c r="Z33" s="6">
        <f t="shared" si="11"/>
        <v>15</v>
      </c>
      <c r="AD33" s="1">
        <f t="shared" si="12"/>
        <v>0</v>
      </c>
      <c r="AE33" s="6">
        <f t="shared" si="13"/>
        <v>15</v>
      </c>
      <c r="AF33" s="6">
        <f t="shared" si="14"/>
        <v>15</v>
      </c>
      <c r="AI33" s="4"/>
      <c r="AJ33" s="1">
        <f t="shared" si="15"/>
        <v>0</v>
      </c>
      <c r="AK33" s="6">
        <f t="shared" si="16"/>
        <v>15</v>
      </c>
      <c r="AL33" s="6">
        <f t="shared" si="17"/>
        <v>15</v>
      </c>
      <c r="AN33" s="1">
        <f t="shared" si="18"/>
        <v>0</v>
      </c>
      <c r="AO33" s="3">
        <f t="shared" si="19"/>
        <v>90</v>
      </c>
    </row>
    <row r="34" spans="1:41" x14ac:dyDescent="0.2">
      <c r="A34" t="s">
        <v>5</v>
      </c>
      <c r="B34" s="1">
        <v>2</v>
      </c>
      <c r="D34" s="1">
        <v>24</v>
      </c>
      <c r="E34" s="4">
        <v>1.238425925925926E-2</v>
      </c>
      <c r="F34" s="1">
        <f t="shared" si="0"/>
        <v>11</v>
      </c>
      <c r="G34" s="6">
        <f t="shared" si="1"/>
        <v>5</v>
      </c>
      <c r="H34" s="6">
        <f t="shared" si="2"/>
        <v>16</v>
      </c>
      <c r="K34" s="4"/>
      <c r="L34" s="1">
        <f t="shared" si="3"/>
        <v>0</v>
      </c>
      <c r="M34" s="6">
        <f t="shared" si="4"/>
        <v>5</v>
      </c>
      <c r="N34" s="6">
        <f t="shared" si="5"/>
        <v>5</v>
      </c>
      <c r="P34" s="1">
        <v>20</v>
      </c>
      <c r="Q34" s="4">
        <v>1.8634259259259257E-2</v>
      </c>
      <c r="R34" s="1">
        <f t="shared" si="6"/>
        <v>15</v>
      </c>
      <c r="S34" s="6">
        <f t="shared" si="7"/>
        <v>5</v>
      </c>
      <c r="T34" s="6">
        <f t="shared" si="8"/>
        <v>20</v>
      </c>
      <c r="V34" s="1">
        <v>20</v>
      </c>
      <c r="W34" s="4">
        <v>4.1805555555555561E-2</v>
      </c>
      <c r="X34" s="1">
        <f t="shared" si="9"/>
        <v>15</v>
      </c>
      <c r="Y34" s="6">
        <f t="shared" si="10"/>
        <v>5</v>
      </c>
      <c r="Z34" s="6">
        <f t="shared" si="11"/>
        <v>20</v>
      </c>
      <c r="AC34" s="4"/>
      <c r="AD34" s="1">
        <f t="shared" si="12"/>
        <v>0</v>
      </c>
      <c r="AE34" s="6">
        <f t="shared" si="13"/>
        <v>5</v>
      </c>
      <c r="AF34" s="6">
        <f t="shared" si="14"/>
        <v>5</v>
      </c>
      <c r="AI34" s="4"/>
      <c r="AJ34" s="1">
        <f t="shared" si="15"/>
        <v>0</v>
      </c>
      <c r="AK34" s="6">
        <f t="shared" si="16"/>
        <v>5</v>
      </c>
      <c r="AL34" s="6">
        <f t="shared" si="17"/>
        <v>5</v>
      </c>
      <c r="AN34" s="1">
        <f t="shared" si="18"/>
        <v>41</v>
      </c>
      <c r="AO34" s="3">
        <f t="shared" si="19"/>
        <v>71</v>
      </c>
    </row>
    <row r="36" spans="1:41" x14ac:dyDescent="0.2">
      <c r="D36"/>
    </row>
  </sheetData>
  <mergeCells count="27">
    <mergeCell ref="B1:B3"/>
    <mergeCell ref="AN1:AN3"/>
    <mergeCell ref="D1:H1"/>
    <mergeCell ref="F2:H2"/>
    <mergeCell ref="D2:D3"/>
    <mergeCell ref="E2:E3"/>
    <mergeCell ref="J1:N1"/>
    <mergeCell ref="J2:J3"/>
    <mergeCell ref="K2:K3"/>
    <mergeCell ref="L2:N2"/>
    <mergeCell ref="P1:T1"/>
    <mergeCell ref="P2:P3"/>
    <mergeCell ref="Q2:Q3"/>
    <mergeCell ref="R2:T2"/>
    <mergeCell ref="V1:Z1"/>
    <mergeCell ref="AB1:AF1"/>
    <mergeCell ref="V2:V3"/>
    <mergeCell ref="W2:W3"/>
    <mergeCell ref="X2:Z2"/>
    <mergeCell ref="AB2:AB3"/>
    <mergeCell ref="AC2:AC3"/>
    <mergeCell ref="AD2:AF2"/>
    <mergeCell ref="AH1:AL1"/>
    <mergeCell ref="AH2:AH3"/>
    <mergeCell ref="AI2:AI3"/>
    <mergeCell ref="AJ2:AL2"/>
    <mergeCell ref="AO1:A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7"/>
  <sheetViews>
    <sheetView workbookViewId="0">
      <selection activeCell="B8" sqref="B8"/>
    </sheetView>
  </sheetViews>
  <sheetFormatPr baseColWidth="10" defaultColWidth="8.83203125" defaultRowHeight="15" x14ac:dyDescent="0.2"/>
  <sheetData>
    <row r="2" spans="2:3" x14ac:dyDescent="0.2">
      <c r="B2" t="s">
        <v>45</v>
      </c>
      <c r="C2">
        <v>0</v>
      </c>
    </row>
    <row r="3" spans="2:3" x14ac:dyDescent="0.2">
      <c r="B3" t="s">
        <v>46</v>
      </c>
      <c r="C3">
        <v>5</v>
      </c>
    </row>
    <row r="4" spans="2:3" x14ac:dyDescent="0.2">
      <c r="B4" t="s">
        <v>46</v>
      </c>
      <c r="C4">
        <v>10</v>
      </c>
    </row>
    <row r="5" spans="2:3" x14ac:dyDescent="0.2">
      <c r="B5" t="s">
        <v>47</v>
      </c>
      <c r="C5">
        <v>15</v>
      </c>
    </row>
    <row r="7" spans="2:3" x14ac:dyDescent="0.2">
      <c r="B7" t="s">
        <v>50</v>
      </c>
      <c r="C7">
        <v>35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FEC4-33D2-694B-93B3-A83AA3D99FD2}">
  <dimension ref="A1:AY33"/>
  <sheetViews>
    <sheetView tabSelected="1" workbookViewId="0">
      <selection activeCell="D44" sqref="D44"/>
    </sheetView>
  </sheetViews>
  <sheetFormatPr baseColWidth="10" defaultRowHeight="15" x14ac:dyDescent="0.2"/>
  <cols>
    <col min="1" max="1" width="8.83203125" style="1" customWidth="1"/>
    <col min="2" max="2" width="15" style="8" bestFit="1" customWidth="1"/>
    <col min="3" max="3" width="10.83203125" style="1"/>
    <col min="4" max="4" width="6.6640625" customWidth="1"/>
    <col min="5" max="5" width="10.83203125" style="1"/>
    <col min="6" max="6" width="18.33203125" customWidth="1"/>
    <col min="7" max="7" width="6" style="1" customWidth="1"/>
    <col min="8" max="8" width="10.83203125" style="4"/>
    <col min="9" max="11" width="10" style="1" customWidth="1"/>
    <col min="12" max="12" width="6.6640625" customWidth="1"/>
    <col min="13" max="13" width="10.83203125" style="1"/>
    <col min="14" max="14" width="18.33203125" customWidth="1"/>
    <col min="15" max="15" width="6" style="1" customWidth="1"/>
    <col min="16" max="16" width="10.83203125" style="4"/>
    <col min="17" max="19" width="10" style="1" customWidth="1"/>
    <col min="20" max="20" width="6.6640625" customWidth="1"/>
    <col min="21" max="21" width="10.83203125" style="1"/>
    <col min="22" max="22" width="18.33203125" customWidth="1"/>
    <col min="23" max="23" width="6" style="1" customWidth="1"/>
    <col min="24" max="24" width="10.83203125" style="4"/>
    <col min="25" max="27" width="10" style="1" customWidth="1"/>
    <col min="28" max="28" width="6.6640625" customWidth="1"/>
    <col min="29" max="29" width="10.83203125" style="1"/>
    <col min="30" max="30" width="18.33203125" customWidth="1"/>
    <col min="31" max="31" width="6" style="1" customWidth="1"/>
    <col min="32" max="32" width="10.83203125" style="4"/>
    <col min="33" max="35" width="10" style="1" customWidth="1"/>
    <col min="36" max="36" width="6.6640625" customWidth="1"/>
    <col min="37" max="37" width="10.83203125" style="1"/>
    <col min="38" max="38" width="18.33203125" customWidth="1"/>
    <col min="39" max="39" width="6" style="1" customWidth="1"/>
    <col min="40" max="40" width="10.83203125" style="4"/>
    <col min="41" max="43" width="10" style="1" customWidth="1"/>
    <col min="44" max="44" width="6.6640625" customWidth="1"/>
    <col min="45" max="45" width="10.83203125" style="1"/>
    <col min="46" max="46" width="18.33203125" customWidth="1"/>
    <col min="47" max="47" width="6" style="1" customWidth="1"/>
    <col min="48" max="48" width="10.83203125" style="4"/>
    <col min="49" max="51" width="10" style="1" customWidth="1"/>
  </cols>
  <sheetData>
    <row r="1" spans="1:51" ht="20" thickBot="1" x14ac:dyDescent="0.3">
      <c r="A1" s="16" t="s">
        <v>51</v>
      </c>
      <c r="B1" s="16"/>
      <c r="C1" s="16"/>
      <c r="E1" s="16" t="s">
        <v>30</v>
      </c>
      <c r="F1" s="16"/>
      <c r="G1" s="16"/>
      <c r="H1" s="16"/>
      <c r="I1" s="16"/>
      <c r="J1" s="16"/>
      <c r="K1" s="16"/>
      <c r="M1" s="16" t="s">
        <v>31</v>
      </c>
      <c r="N1" s="16"/>
      <c r="O1" s="16"/>
      <c r="P1" s="16"/>
      <c r="Q1" s="16"/>
      <c r="R1" s="16"/>
      <c r="S1" s="16"/>
      <c r="U1" s="16" t="s">
        <v>32</v>
      </c>
      <c r="V1" s="16"/>
      <c r="W1" s="16"/>
      <c r="X1" s="16"/>
      <c r="Y1" s="16"/>
      <c r="Z1" s="16"/>
      <c r="AA1" s="16"/>
      <c r="AC1" s="16" t="s">
        <v>33</v>
      </c>
      <c r="AD1" s="16"/>
      <c r="AE1" s="16"/>
      <c r="AF1" s="16"/>
      <c r="AG1" s="16"/>
      <c r="AH1" s="16"/>
      <c r="AI1" s="16"/>
      <c r="AK1" s="16" t="s">
        <v>34</v>
      </c>
      <c r="AL1" s="16"/>
      <c r="AM1" s="16"/>
      <c r="AN1" s="16"/>
      <c r="AO1" s="16"/>
      <c r="AP1" s="16"/>
      <c r="AQ1" s="16"/>
      <c r="AS1" s="16" t="s">
        <v>35</v>
      </c>
      <c r="AT1" s="16"/>
      <c r="AU1" s="16"/>
      <c r="AV1" s="16"/>
      <c r="AW1" s="16"/>
      <c r="AX1" s="16"/>
      <c r="AY1" s="16"/>
    </row>
    <row r="2" spans="1:51" s="3" customFormat="1" x14ac:dyDescent="0.2">
      <c r="A2" s="3" t="s">
        <v>36</v>
      </c>
      <c r="B2" s="3" t="s">
        <v>37</v>
      </c>
      <c r="C2" s="3" t="s">
        <v>40</v>
      </c>
      <c r="E2" s="3" t="s">
        <v>52</v>
      </c>
      <c r="F2" s="3" t="s">
        <v>37</v>
      </c>
      <c r="G2" s="3" t="s">
        <v>53</v>
      </c>
      <c r="H2" s="9" t="s">
        <v>38</v>
      </c>
      <c r="I2" s="3" t="s">
        <v>54</v>
      </c>
      <c r="J2" s="3" t="s">
        <v>42</v>
      </c>
      <c r="K2" s="3" t="s">
        <v>39</v>
      </c>
      <c r="M2" s="3" t="s">
        <v>52</v>
      </c>
      <c r="N2" s="3" t="s">
        <v>37</v>
      </c>
      <c r="O2" s="3" t="s">
        <v>53</v>
      </c>
      <c r="P2" s="9" t="s">
        <v>38</v>
      </c>
      <c r="Q2" s="3" t="s">
        <v>54</v>
      </c>
      <c r="R2" s="3" t="s">
        <v>42</v>
      </c>
      <c r="S2" s="3" t="s">
        <v>39</v>
      </c>
      <c r="U2" s="3" t="s">
        <v>52</v>
      </c>
      <c r="V2" s="3" t="s">
        <v>37</v>
      </c>
      <c r="W2" s="3" t="s">
        <v>53</v>
      </c>
      <c r="X2" s="9" t="s">
        <v>38</v>
      </c>
      <c r="Y2" s="3" t="s">
        <v>54</v>
      </c>
      <c r="Z2" s="3" t="s">
        <v>42</v>
      </c>
      <c r="AA2" s="3" t="s">
        <v>39</v>
      </c>
      <c r="AC2" s="3" t="s">
        <v>52</v>
      </c>
      <c r="AD2" s="3" t="s">
        <v>37</v>
      </c>
      <c r="AE2" s="3" t="s">
        <v>53</v>
      </c>
      <c r="AF2" s="9" t="s">
        <v>38</v>
      </c>
      <c r="AG2" s="3" t="s">
        <v>54</v>
      </c>
      <c r="AH2" s="3" t="s">
        <v>42</v>
      </c>
      <c r="AI2" s="3" t="s">
        <v>39</v>
      </c>
      <c r="AK2" s="3" t="s">
        <v>52</v>
      </c>
      <c r="AL2" s="3" t="s">
        <v>37</v>
      </c>
      <c r="AM2" s="3" t="s">
        <v>53</v>
      </c>
      <c r="AN2" s="9" t="s">
        <v>38</v>
      </c>
      <c r="AO2" s="3" t="s">
        <v>54</v>
      </c>
      <c r="AP2" s="3" t="s">
        <v>42</v>
      </c>
      <c r="AQ2" s="3" t="s">
        <v>39</v>
      </c>
      <c r="AS2" s="3" t="s">
        <v>52</v>
      </c>
      <c r="AT2" s="3" t="s">
        <v>37</v>
      </c>
      <c r="AU2" s="3" t="s">
        <v>53</v>
      </c>
      <c r="AV2" s="9" t="s">
        <v>38</v>
      </c>
      <c r="AW2" s="3" t="s">
        <v>54</v>
      </c>
      <c r="AX2" s="3" t="s">
        <v>42</v>
      </c>
      <c r="AY2" s="3" t="s">
        <v>39</v>
      </c>
    </row>
    <row r="3" spans="1:51" s="3" customFormat="1" ht="7" customHeight="1" x14ac:dyDescent="0.2">
      <c r="B3" s="7"/>
      <c r="H3" s="9"/>
      <c r="P3" s="9"/>
      <c r="X3" s="9"/>
      <c r="AF3" s="9"/>
      <c r="AN3" s="9"/>
      <c r="AV3" s="9"/>
    </row>
    <row r="4" spans="1:51" x14ac:dyDescent="0.2">
      <c r="A4" s="1" cm="1">
        <f t="array" ref="A4">_xlfn.LET(_xlpm.pts,INDEX(_xlfn.ANCHORARRAY($B$4),0,2),1+COUNTIF(_xlpm.pts,"&gt;"&amp;INDEX(_xlfn.ANCHORARRAY($B$4),ROW()-ROW($A$4)+1,2)))</f>
        <v>1</v>
      </c>
      <c r="B4" s="8" t="str" cm="1">
        <f t="array" ref="B4:C33">_xlfn.LET(
  _xlpm.names,'Stage Data - A'!$A$5:$A$48,
  _xlpm.total,'Stage Data - A'!$AO$5:$AO$48,
  _xlpm.data,_xlfn._xlws.FILTER(CHOOSE({1,2},_xlpm.names,_xlpm.total),_xlpm.names&lt;&gt;""),
  _xlfn.SORTBY(_xlpm.data,INDEX(_xlpm.data,,2),-1,INDEX(_xlpm.data,,1),1)
)</f>
        <v>Raif Oz</v>
      </c>
      <c r="C4" s="1">
        <v>209</v>
      </c>
      <c r="E4" s="1" cm="1">
        <f t="array" ref="E4">_xlfn.LET(_xlpm.pts,INDEX(_xlfn.ANCHORARRAY($F$4),0,6),1+COUNTIF(_xlpm.pts,"&gt;"&amp;INDEX(_xlfn.ANCHORARRAY($F$4),ROW()-ROW($E$4)+1,6)))</f>
        <v>1</v>
      </c>
      <c r="F4" t="str" cm="1">
        <f t="array" ref="F4:K33">_xlfn.LET(
  _xlpm.names,'Stage Data - A'!$A$5:$A$48,
  _xlpm.stpos,'Stage Data - A'!D$5:D$48,
  _xlpm.time,'Stage Data - A'!E$5:E$48,
  _xlpm.base,'Stage Data - A'!F$5:F$48,
  _xlpm.hdcp,'Stage Data - A'!G$5:G$48,
  _xlpm.adj,'Stage Data - A'!H$5:H$48,
  _xlpm.data,_xlfn._xlws.FILTER(CHOOSE({1,2,3,4,5,6},_xlpm.names,_xlpm.stpos,_xlpm.time,_xlpm.base,_xlpm.hdcp,_xlpm.adj), _xlpm.adj&lt;&gt;""),
  _xlfn.SORTBY(_xlpm.data, INDEX(_xlpm.data,,6), -1, INDEX(_xlpm.data,,1), 1)
)</f>
        <v>Alice Lethbridge</v>
      </c>
      <c r="G4" s="1">
        <v>1</v>
      </c>
      <c r="H4" s="4">
        <v>1.1539351851851851E-2</v>
      </c>
      <c r="I4" s="1">
        <v>34</v>
      </c>
      <c r="J4" s="1">
        <v>5</v>
      </c>
      <c r="K4" s="1">
        <v>35</v>
      </c>
      <c r="M4" s="1" cm="1">
        <f t="array" ref="M4">_xlfn.LET(_xlpm.pts,INDEX(_xlfn.ANCHORARRAY($N$4),0,6),1+COUNTIF(_xlpm.pts,"&gt;"&amp;INDEX(_xlfn.ANCHORARRAY($N$4),ROW()-ROW($M$4)+1,6)))</f>
        <v>1</v>
      </c>
      <c r="N4" t="str" cm="1">
        <f t="array" ref="N4:S33">_xlfn.LET(
  _xlpm.names,'Stage Data - A'!$A$5:$A$48,
  _xlpm.stpos,'Stage Data - A'!J$5:J$48,
  _xlpm.time,'Stage Data - A'!K$5:K$48,
  _xlpm.base,'Stage Data - A'!L$5:L$48,
  _xlpm.hdcp,'Stage Data - A'!M$5:M$48,
  _xlpm.adj,'Stage Data - A'!N$5:N$48,
  _xlpm.data,_xlfn._xlws.FILTER(CHOOSE({1,2,3,4,5,6},_xlpm.names,_xlpm.stpos,_xlpm.time,_xlpm.base,_xlpm.hdcp,_xlpm.adj), _xlpm.adj&lt;&gt;""),
  _xlfn.SORTBY(_xlpm.data, INDEX(_xlpm.data,,6), -1, INDEX(_xlpm.data,,1), 1)
)</f>
        <v>Alice Lethbridge</v>
      </c>
      <c r="O4" s="1">
        <v>5</v>
      </c>
      <c r="P4" s="4">
        <v>2.1053240740740744E-2</v>
      </c>
      <c r="Q4" s="1">
        <v>30</v>
      </c>
      <c r="R4" s="1">
        <v>5</v>
      </c>
      <c r="S4" s="1">
        <v>35</v>
      </c>
      <c r="U4" s="1" cm="1">
        <f t="array" ref="U4">_xlfn.LET(_xlpm.pts,INDEX(_xlfn.ANCHORARRAY($V$4),0,6),1+COUNTIF(_xlpm.pts,"&gt;"&amp;INDEX(_xlfn.ANCHORARRAY($V$4),ROW()-ROW($U$4)+1,6)))</f>
        <v>1</v>
      </c>
      <c r="V4" t="str" cm="1">
        <f t="array" ref="V4:AA33">_xlfn.LET(
  _xlpm.names,'Stage Data - A'!$A$5:$A$50,
  _xlpm.stpos,'Stage Data - A'!P$5:P$50,
  _xlpm.time,'Stage Data - A'!Q$5:Q$50,
  _xlpm.base,'Stage Data - A'!R$5:R$50,
  _xlpm.hdcp,'Stage Data - A'!S$5:S$50,
  _xlpm.adj,'Stage Data - A'!T$5:T$50,
  _xlpm.data,_xlfn._xlws.FILTER(CHOOSE({1,2,3,4,5,6},_xlpm.names,_xlpm.stpos,_xlpm.time,_xlpm.base,_xlpm.hdcp,_xlpm.adj), _xlpm.adj&lt;&gt;""),
  _xlfn.SORTBY(_xlpm.data, INDEX(_xlpm.data,,6), -1, INDEX(_xlpm.data,,1), 1)
)</f>
        <v>Alice Lethbridge</v>
      </c>
      <c r="W4" s="1">
        <v>4</v>
      </c>
      <c r="X4" s="4">
        <v>1.741898148148148E-2</v>
      </c>
      <c r="Y4" s="1">
        <v>31</v>
      </c>
      <c r="Z4" s="1">
        <v>5</v>
      </c>
      <c r="AA4" s="1">
        <v>35</v>
      </c>
      <c r="AC4" s="10" cm="1">
        <f t="array" ref="AC4">_xlfn.LET(_xlpm.pts,INDEX(_xlfn.ANCHORARRAY($AD$4),0,6),1+COUNTIF(_xlpm.pts,"&gt;"&amp;INDEX(_xlfn.ANCHORARRAY($AD$4),ROW()-ROW($AC$4)+1,6)))</f>
        <v>1</v>
      </c>
      <c r="AD4" t="str" cm="1">
        <f t="array" ref="AD4:AI33">_xlfn.LET(
  _xlpm.names,'Stage Data - A'!$A$5:$A$50,
  _xlpm.stpos,'Stage Data - A'!V$5:V$50,
  _xlpm.time,'Stage Data - A'!W$5:W$50,
  _xlpm.base,'Stage Data - A'!X$5:X$50,
  _xlpm.hdcp,'Stage Data - A'!Y$5:Y$50,
  _xlpm.adj,'Stage Data - A'!Z$5:Z$50,
  _xlpm.data,_xlfn._xlws.FILTER(CHOOSE({1,2,3,4,5,6},_xlpm.names,_xlpm.stpos,_xlpm.time,_xlpm.base,_xlpm.hdcp,_xlpm.adj), _xlpm.adj&lt;&gt;""),
  _xlfn.SORTBY(_xlpm.data, INDEX(_xlpm.data,,6), -1, INDEX(_xlpm.data,,1), 1)
)</f>
        <v>Raif Oz</v>
      </c>
      <c r="AE4" s="1">
        <v>5</v>
      </c>
      <c r="AF4" s="4">
        <v>3.4699074074074077E-2</v>
      </c>
      <c r="AG4" s="1">
        <v>30</v>
      </c>
      <c r="AH4" s="1">
        <v>5</v>
      </c>
      <c r="AI4" s="1">
        <v>35</v>
      </c>
      <c r="AK4" s="1" cm="1">
        <f t="array" ref="AK4">_xlfn.LET(_xlpm.pts,INDEX(_xlfn.ANCHORARRAY($AL$4),0,6),1+COUNTIF(_xlpm.pts,"&gt;"&amp;INDEX(_xlfn.ANCHORARRAY($AL$4),ROW()-ROW($AK$4)+1,6)))</f>
        <v>1</v>
      </c>
      <c r="AL4" t="str" cm="1">
        <f t="array" ref="AL4:AQ33">_xlfn.LET(
  _xlpm.names,'Stage Data - A'!$A$5:$A$50,
  _xlpm.stpos,'Stage Data - A'!AB$5:AB$50,
  _xlpm.time,'Stage Data - A'!AC$5:AC$50,
  _xlpm.base,'Stage Data - A'!AD$5:AD$50,
  _xlpm.hdcp,'Stage Data - A'!AE$5:AE$50,
  _xlpm.adj,'Stage Data - A'!AF$5:AF$50,
  _xlpm.data,_xlfn._xlws.FILTER(CHOOSE({1,2,3,4,5,6},_xlpm.names,_xlpm.stpos,_xlpm.time,_xlpm.base,_xlpm.hdcp,_xlpm.adj), _xlpm.adj&lt;&gt;""),
  _xlfn.SORTBY(_xlpm.data, INDEX(_xlpm.data,,6), -1, INDEX(_xlpm.data,,1), 1)
)</f>
        <v>Eamon Mason</v>
      </c>
      <c r="AM4" s="1">
        <v>15</v>
      </c>
      <c r="AN4" s="4">
        <v>3.78587962962963E-2</v>
      </c>
      <c r="AO4" s="1">
        <v>20</v>
      </c>
      <c r="AP4" s="1">
        <v>15</v>
      </c>
      <c r="AQ4" s="1">
        <v>35</v>
      </c>
      <c r="AS4" s="1" cm="1">
        <f t="array" ref="AS4">_xlfn.LET(_xlpm.pts,INDEX(_xlfn.ANCHORARRAY($AT$4),0,6),1+COUNTIF(_xlpm.pts,"&gt;"&amp;INDEX(_xlfn.ANCHORARRAY($AT$4),ROW()-ROW($AU$4)+1,6)))</f>
        <v>1</v>
      </c>
      <c r="AT4" t="str" cm="1">
        <f t="array" ref="AT4:AY33">_xlfn.LET(
  _xlpm.names,'Stage Data - A'!$A$5:$A$50,
  _xlpm.stpos,'Stage Data - A'!AH$5:AH$50,
  _xlpm.time,'Stage Data - A'!AI$5:AI$50,
  _xlpm.base,'Stage Data - A'!AJ$5:AJ$50,
  _xlpm.hdcp,'Stage Data - A'!AK$5:AK$50,
  _xlpm.adj,'Stage Data - A'!AL$5:AL$50,
  _xlpm.data,_xlfn._xlws.FILTER(CHOOSE({1,2,3,4,5,6},_xlpm.names,_xlpm.stpos,_xlpm.time,_xlpm.base,_xlpm.hdcp,_xlpm.adj), _xlpm.adj&lt;&gt;""),
  _xlfn.SORTBY(_xlpm.data, INDEX(_xlpm.data,,6), -1, INDEX(_xlpm.data,,1), 1)
)</f>
        <v>Bill McClatchie</v>
      </c>
      <c r="AU4" s="1">
        <v>7</v>
      </c>
      <c r="AV4" s="4">
        <v>2.5567129629629634E-2</v>
      </c>
      <c r="AW4" s="1">
        <v>28</v>
      </c>
      <c r="AX4" s="1">
        <v>10</v>
      </c>
      <c r="AY4" s="1">
        <v>35</v>
      </c>
    </row>
    <row r="5" spans="1:51" x14ac:dyDescent="0.2">
      <c r="A5" s="1" cm="1">
        <f t="array" ref="A5">_xlfn.LET(_xlpm.pts,INDEX(_xlfn.ANCHORARRAY($B$4),0,2),1+COUNTIF(_xlpm.pts,"&gt;"&amp;INDEX(_xlfn.ANCHORARRAY($B$4),ROW()-ROW($A$4)+1,2)))</f>
        <v>2</v>
      </c>
      <c r="B5" s="8" t="str">
        <v>Eamon Mason</v>
      </c>
      <c r="C5" s="1">
        <v>203</v>
      </c>
      <c r="E5" s="1" cm="1">
        <f t="array" ref="E5">_xlfn.LET(_xlpm.pts,INDEX(_xlfn.ANCHORARRAY($F$4),0,6),1+COUNTIF(_xlpm.pts,"&gt;"&amp;INDEX(_xlfn.ANCHORARRAY($F$4),ROW()-ROW($E$4)+1,6)))</f>
        <v>1</v>
      </c>
      <c r="F5" t="str">
        <v>Bill McClatchie</v>
      </c>
      <c r="G5" s="1">
        <v>10</v>
      </c>
      <c r="H5" s="4">
        <v>1.1759259259259259E-2</v>
      </c>
      <c r="I5" s="1">
        <v>25</v>
      </c>
      <c r="J5" s="1">
        <v>10</v>
      </c>
      <c r="K5" s="1">
        <v>35</v>
      </c>
      <c r="M5" s="1" cm="1">
        <f t="array" ref="M5">_xlfn.LET(_xlpm.pts,INDEX(_xlfn.ANCHORARRAY($N$4),0,6),1+COUNTIF(_xlpm.pts,"&gt;"&amp;INDEX(_xlfn.ANCHORARRAY($N$4),ROW()-ROW($M$4)+1,6)))</f>
        <v>1</v>
      </c>
      <c r="N5" t="str">
        <v>Bill McClatchie</v>
      </c>
      <c r="O5" s="1">
        <v>10</v>
      </c>
      <c r="P5" s="4">
        <v>2.1342592592592594E-2</v>
      </c>
      <c r="Q5" s="1">
        <v>25</v>
      </c>
      <c r="R5" s="1">
        <v>10</v>
      </c>
      <c r="S5" s="1">
        <v>35</v>
      </c>
      <c r="U5" s="1" cm="1">
        <f t="array" ref="U5">_xlfn.LET(_xlpm.pts,INDEX(_xlfn.ANCHORARRAY($V$4),0,6),1+COUNTIF(_xlpm.pts,"&gt;"&amp;INDEX(_xlfn.ANCHORARRAY($V$4),ROW()-ROW($U$4)+1,6)))</f>
        <v>1</v>
      </c>
      <c r="V5" t="str">
        <v>Bill McClatchie</v>
      </c>
      <c r="W5" s="1">
        <v>9</v>
      </c>
      <c r="X5" s="4">
        <v>1.7604166666666667E-2</v>
      </c>
      <c r="Y5" s="1">
        <v>26</v>
      </c>
      <c r="Z5" s="1">
        <v>10</v>
      </c>
      <c r="AA5" s="1">
        <v>35</v>
      </c>
      <c r="AC5" s="10" cm="1">
        <f t="array" ref="AC5">_xlfn.LET(_xlpm.pts,INDEX(_xlfn.ANCHORARRAY($AD$4),0,6),1+COUNTIF(_xlpm.pts,"&gt;"&amp;INDEX(_xlfn.ANCHORARRAY($AD$4),ROW()-ROW($AC$4)+1,6)))</f>
        <v>2</v>
      </c>
      <c r="AD5" t="str">
        <v>Alice Lethbridge</v>
      </c>
      <c r="AE5" s="1">
        <v>6</v>
      </c>
      <c r="AF5" s="4">
        <v>3.5821759259259262E-2</v>
      </c>
      <c r="AG5" s="1">
        <v>29</v>
      </c>
      <c r="AH5" s="1">
        <v>5</v>
      </c>
      <c r="AI5" s="1">
        <v>34</v>
      </c>
      <c r="AK5" s="1" cm="1">
        <f t="array" ref="AK5">_xlfn.LET(_xlpm.pts,INDEX(_xlfn.ANCHORARRAY($AL$4),0,6),1+COUNTIF(_xlpm.pts,"&gt;"&amp;INDEX(_xlfn.ANCHORARRAY($AL$4),ROW()-ROW($AK$4)+1,6)))</f>
        <v>1</v>
      </c>
      <c r="AL5" t="str">
        <v>Raif Oz</v>
      </c>
      <c r="AM5" s="1">
        <v>4</v>
      </c>
      <c r="AN5" s="4">
        <v>3.5335648148148151E-2</v>
      </c>
      <c r="AO5" s="1">
        <v>31</v>
      </c>
      <c r="AP5" s="1">
        <v>5</v>
      </c>
      <c r="AQ5" s="1">
        <v>35</v>
      </c>
      <c r="AS5" s="1" cm="1">
        <f t="array" ref="AS5">_xlfn.LET(_xlpm.pts,INDEX(_xlfn.ANCHORARRAY($AT$4),0,6),1+COUNTIF(_xlpm.pts,"&gt;"&amp;INDEX(_xlfn.ANCHORARRAY($AT$4),ROW()-ROW($AU$4)+1,6)))</f>
        <v>1</v>
      </c>
      <c r="AT5" t="str">
        <v>Eamon Mason</v>
      </c>
      <c r="AU5" s="1">
        <v>15</v>
      </c>
      <c r="AV5" s="4">
        <v>2.6388888888888889E-2</v>
      </c>
      <c r="AW5" s="1">
        <v>20</v>
      </c>
      <c r="AX5" s="1">
        <v>15</v>
      </c>
      <c r="AY5" s="1">
        <v>35</v>
      </c>
    </row>
    <row r="6" spans="1:51" x14ac:dyDescent="0.2">
      <c r="A6" s="1" cm="1">
        <f t="array" ref="A6">_xlfn.LET(_xlpm.pts,INDEX(_xlfn.ANCHORARRAY($B$4),0,2),1+COUNTIF(_xlpm.pts,"&gt;"&amp;INDEX(_xlfn.ANCHORARRAY($B$4),ROW()-ROW($A$4)+1,2)))</f>
        <v>3</v>
      </c>
      <c r="B6" s="8" t="str">
        <v>Tobi Rosenkranz</v>
      </c>
      <c r="C6" s="1">
        <v>202</v>
      </c>
      <c r="E6" s="1" cm="1">
        <f t="array" ref="E6">_xlfn.LET(_xlpm.pts,INDEX(_xlfn.ANCHORARRAY($F$4),0,6),1+COUNTIF(_xlpm.pts,"&gt;"&amp;INDEX(_xlfn.ANCHORARRAY($F$4),ROW()-ROW($E$4)+1,6)))</f>
        <v>1</v>
      </c>
      <c r="F6" t="str">
        <v>Henrik Persson</v>
      </c>
      <c r="G6" s="1">
        <v>2</v>
      </c>
      <c r="H6" s="4">
        <v>1.1562499999999998E-2</v>
      </c>
      <c r="I6" s="1">
        <v>33</v>
      </c>
      <c r="J6" s="1">
        <v>5</v>
      </c>
      <c r="K6" s="1">
        <v>35</v>
      </c>
      <c r="M6" s="1" cm="1">
        <f t="array" ref="M6">_xlfn.LET(_xlpm.pts,INDEX(_xlfn.ANCHORARRAY($N$4),0,6),1+COUNTIF(_xlpm.pts,"&gt;"&amp;INDEX(_xlfn.ANCHORARRAY($N$4),ROW()-ROW($M$4)+1,6)))</f>
        <v>1</v>
      </c>
      <c r="N6" t="str">
        <v>Eamon Mason</v>
      </c>
      <c r="O6" s="1">
        <v>12</v>
      </c>
      <c r="P6" s="4">
        <v>2.1516203703703704E-2</v>
      </c>
      <c r="Q6" s="1">
        <v>23</v>
      </c>
      <c r="R6" s="1">
        <v>15</v>
      </c>
      <c r="S6" s="1">
        <v>35</v>
      </c>
      <c r="U6" s="1" cm="1">
        <f t="array" ref="U6">_xlfn.LET(_xlpm.pts,INDEX(_xlfn.ANCHORARRAY($V$4),0,6),1+COUNTIF(_xlpm.pts,"&gt;"&amp;INDEX(_xlfn.ANCHORARRAY($V$4),ROW()-ROW($U$4)+1,6)))</f>
        <v>1</v>
      </c>
      <c r="V6" t="str">
        <v>Eamon Mason</v>
      </c>
      <c r="W6" s="1">
        <v>15</v>
      </c>
      <c r="X6" s="4">
        <v>1.818287037037037E-2</v>
      </c>
      <c r="Y6" s="1">
        <v>20</v>
      </c>
      <c r="Z6" s="1">
        <v>15</v>
      </c>
      <c r="AA6" s="1">
        <v>35</v>
      </c>
      <c r="AC6" s="10" cm="1">
        <f t="array" ref="AC6">_xlfn.LET(_xlpm.pts,INDEX(_xlfn.ANCHORARRAY($AD$4),0,6),1+COUNTIF(_xlpm.pts,"&gt;"&amp;INDEX(_xlfn.ANCHORARRAY($AD$4),ROW()-ROW($AC$4)+1,6)))</f>
        <v>2</v>
      </c>
      <c r="AD6" t="str">
        <v>Judah Rand</v>
      </c>
      <c r="AE6" s="1">
        <v>1</v>
      </c>
      <c r="AF6" s="4">
        <v>3.1782407407407405E-2</v>
      </c>
      <c r="AG6" s="1">
        <v>34</v>
      </c>
      <c r="AH6" s="1">
        <v>0</v>
      </c>
      <c r="AI6" s="1">
        <v>34</v>
      </c>
      <c r="AK6" s="1" cm="1">
        <f t="array" ref="AK6">_xlfn.LET(_xlpm.pts,INDEX(_xlfn.ANCHORARRAY($AL$4),0,6),1+COUNTIF(_xlpm.pts,"&gt;"&amp;INDEX(_xlfn.ANCHORARRAY($AL$4),ROW()-ROW($AK$4)+1,6)))</f>
        <v>1</v>
      </c>
      <c r="AL6" t="str">
        <v>Tobi Rosenkranz</v>
      </c>
      <c r="AM6" s="1">
        <v>5</v>
      </c>
      <c r="AN6" s="4">
        <v>3.5381944444444445E-2</v>
      </c>
      <c r="AO6" s="1">
        <v>30</v>
      </c>
      <c r="AP6" s="1">
        <v>5</v>
      </c>
      <c r="AQ6" s="1">
        <v>35</v>
      </c>
      <c r="AS6" s="1" cm="1">
        <f t="array" ref="AS6">_xlfn.LET(_xlpm.pts,INDEX(_xlfn.ANCHORARRAY($AT$4),0,6),1+COUNTIF(_xlpm.pts,"&gt;"&amp;INDEX(_xlfn.ANCHORARRAY($AT$4),ROW()-ROW($AU$4)+1,6)))</f>
        <v>1</v>
      </c>
      <c r="AT6" t="str">
        <v>Raif Oz</v>
      </c>
      <c r="AU6" s="1">
        <v>3</v>
      </c>
      <c r="AV6" s="4">
        <v>2.494212962962963E-2</v>
      </c>
      <c r="AW6" s="1">
        <v>32</v>
      </c>
      <c r="AX6" s="1">
        <v>5</v>
      </c>
      <c r="AY6" s="1">
        <v>35</v>
      </c>
    </row>
    <row r="7" spans="1:51" x14ac:dyDescent="0.2">
      <c r="A7" s="1" cm="1">
        <f t="array" ref="A7">_xlfn.LET(_xlpm.pts,INDEX(_xlfn.ANCHORARRAY($B$4),0,2),1+COUNTIF(_xlpm.pts,"&gt;"&amp;INDEX(_xlfn.ANCHORARRAY($B$4),ROW()-ROW($A$4)+1,2)))</f>
        <v>4</v>
      </c>
      <c r="B7" s="8" t="str">
        <v>Bill McClatchie</v>
      </c>
      <c r="C7" s="1">
        <v>200</v>
      </c>
      <c r="E7" s="1" cm="1">
        <f t="array" ref="E7">_xlfn.LET(_xlpm.pts,INDEX(_xlfn.ANCHORARRAY($F$4),0,6),1+COUNTIF(_xlpm.pts,"&gt;"&amp;INDEX(_xlfn.ANCHORARRAY($F$4),ROW()-ROW($E$4)+1,6)))</f>
        <v>1</v>
      </c>
      <c r="F7" t="str">
        <v>Raif Oz</v>
      </c>
      <c r="G7" s="1">
        <v>4</v>
      </c>
      <c r="H7" s="4">
        <v>1.1597222222222222E-2</v>
      </c>
      <c r="I7" s="1">
        <v>31</v>
      </c>
      <c r="J7" s="1">
        <v>5</v>
      </c>
      <c r="K7" s="1">
        <v>35</v>
      </c>
      <c r="M7" s="1" cm="1">
        <f t="array" ref="M7">_xlfn.LET(_xlpm.pts,INDEX(_xlfn.ANCHORARRAY($N$4),0,6),1+COUNTIF(_xlpm.pts,"&gt;"&amp;INDEX(_xlfn.ANCHORARRAY($N$4),ROW()-ROW($M$4)+1,6)))</f>
        <v>1</v>
      </c>
      <c r="N7" t="str">
        <v>Neal Beauchamp</v>
      </c>
      <c r="O7" s="1">
        <v>4</v>
      </c>
      <c r="P7" s="4">
        <v>2.101851851851852E-2</v>
      </c>
      <c r="Q7" s="1">
        <v>31</v>
      </c>
      <c r="R7" s="1">
        <v>5</v>
      </c>
      <c r="S7" s="1">
        <v>35</v>
      </c>
      <c r="U7" s="1" cm="1">
        <f t="array" ref="U7">_xlfn.LET(_xlpm.pts,INDEX(_xlfn.ANCHORARRAY($V$4),0,6),1+COUNTIF(_xlpm.pts,"&gt;"&amp;INDEX(_xlfn.ANCHORARRAY($V$4),ROW()-ROW($U$4)+1,6)))</f>
        <v>1</v>
      </c>
      <c r="V7" t="str">
        <v>Henrik Persson</v>
      </c>
      <c r="W7" s="1">
        <v>3</v>
      </c>
      <c r="X7" s="4">
        <v>1.7407407407407406E-2</v>
      </c>
      <c r="Y7" s="1">
        <v>32</v>
      </c>
      <c r="Z7" s="1">
        <v>5</v>
      </c>
      <c r="AA7" s="1">
        <v>35</v>
      </c>
      <c r="AC7" s="10" cm="1">
        <f t="array" ref="AC7">_xlfn.LET(_xlpm.pts,INDEX(_xlfn.ANCHORARRAY($AD$4),0,6),1+COUNTIF(_xlpm.pts,"&gt;"&amp;INDEX(_xlfn.ANCHORARRAY($AD$4),ROW()-ROW($AC$4)+1,6)))</f>
        <v>4</v>
      </c>
      <c r="AD7" t="str">
        <v>Chris Jenkins</v>
      </c>
      <c r="AE7" s="1">
        <v>7</v>
      </c>
      <c r="AF7" s="4">
        <v>3.6076388888888887E-2</v>
      </c>
      <c r="AG7" s="1">
        <v>28</v>
      </c>
      <c r="AH7" s="1">
        <v>5</v>
      </c>
      <c r="AI7" s="1">
        <v>33</v>
      </c>
      <c r="AK7" s="1" cm="1">
        <f t="array" ref="AK7">_xlfn.LET(_xlpm.pts,INDEX(_xlfn.ANCHORARRAY($AL$4),0,6),1+COUNTIF(_xlpm.pts,"&gt;"&amp;INDEX(_xlfn.ANCHORARRAY($AL$4),ROW()-ROW($AK$4)+1,6)))</f>
        <v>4</v>
      </c>
      <c r="AL7" t="str">
        <v>Chris Jenkins</v>
      </c>
      <c r="AM7" s="1">
        <v>6</v>
      </c>
      <c r="AN7" s="4">
        <v>3.5439814814814813E-2</v>
      </c>
      <c r="AO7" s="1">
        <v>29</v>
      </c>
      <c r="AP7" s="1">
        <v>5</v>
      </c>
      <c r="AQ7" s="1">
        <v>34</v>
      </c>
      <c r="AS7" s="1" cm="1">
        <f t="array" ref="AS7">_xlfn.LET(_xlpm.pts,INDEX(_xlfn.ANCHORARRAY($AT$4),0,6),1+COUNTIF(_xlpm.pts,"&gt;"&amp;INDEX(_xlfn.ANCHORARRAY($AT$4),ROW()-ROW($AU$4)+1,6)))</f>
        <v>1</v>
      </c>
      <c r="AT7" t="str">
        <v>Tobi Rosenkranz</v>
      </c>
      <c r="AU7" s="1">
        <v>5</v>
      </c>
      <c r="AV7" s="4">
        <v>2.5555555555555554E-2</v>
      </c>
      <c r="AW7" s="1">
        <v>30</v>
      </c>
      <c r="AX7" s="1">
        <v>5</v>
      </c>
      <c r="AY7" s="1">
        <v>35</v>
      </c>
    </row>
    <row r="8" spans="1:51" x14ac:dyDescent="0.2">
      <c r="A8" s="1" cm="1">
        <f t="array" ref="A8">_xlfn.LET(_xlpm.pts,INDEX(_xlfn.ANCHORARRAY($B$4),0,2),1+COUNTIF(_xlpm.pts,"&gt;"&amp;INDEX(_xlfn.ANCHORARRAY($B$4),ROW()-ROW($A$4)+1,2)))</f>
        <v>5</v>
      </c>
      <c r="B8" s="8" t="str">
        <v>Judah Rand</v>
      </c>
      <c r="C8" s="1">
        <v>199</v>
      </c>
      <c r="E8" s="1" cm="1">
        <f t="array" ref="E8">_xlfn.LET(_xlpm.pts,INDEX(_xlfn.ANCHORARRAY($F$4),0,6),1+COUNTIF(_xlpm.pts,"&gt;"&amp;INDEX(_xlfn.ANCHORARRAY($F$4),ROW()-ROW($E$4)+1,6)))</f>
        <v>5</v>
      </c>
      <c r="F8" t="str">
        <v>Neal Beauchamp</v>
      </c>
      <c r="G8" s="1">
        <v>7</v>
      </c>
      <c r="H8" s="4">
        <v>1.1620370370370371E-2</v>
      </c>
      <c r="I8" s="1">
        <v>28</v>
      </c>
      <c r="J8" s="1">
        <v>5</v>
      </c>
      <c r="K8" s="1">
        <v>33</v>
      </c>
      <c r="M8" s="1" cm="1">
        <f t="array" ref="M8">_xlfn.LET(_xlpm.pts,INDEX(_xlfn.ANCHORARRAY($N$4),0,6),1+COUNTIF(_xlpm.pts,"&gt;"&amp;INDEX(_xlfn.ANCHORARRAY($N$4),ROW()-ROW($M$4)+1,6)))</f>
        <v>1</v>
      </c>
      <c r="N8" t="str">
        <v>Richard Turner</v>
      </c>
      <c r="O8" s="1">
        <v>15</v>
      </c>
      <c r="P8" s="4">
        <v>2.1770833333333336E-2</v>
      </c>
      <c r="Q8" s="1">
        <v>20</v>
      </c>
      <c r="R8" s="1">
        <v>15</v>
      </c>
      <c r="S8" s="1">
        <v>35</v>
      </c>
      <c r="U8" s="1" cm="1">
        <f t="array" ref="U8">_xlfn.LET(_xlpm.pts,INDEX(_xlfn.ANCHORARRAY($V$4),0,6),1+COUNTIF(_xlpm.pts,"&gt;"&amp;INDEX(_xlfn.ANCHORARRAY($V$4),ROW()-ROW($U$4)+1,6)))</f>
        <v>1</v>
      </c>
      <c r="V8" t="str">
        <v>Raif Oz</v>
      </c>
      <c r="W8" s="1">
        <v>4</v>
      </c>
      <c r="X8" s="4">
        <v>1.741898148148148E-2</v>
      </c>
      <c r="Y8" s="1">
        <v>31</v>
      </c>
      <c r="Z8" s="1">
        <v>5</v>
      </c>
      <c r="AA8" s="1">
        <v>35</v>
      </c>
      <c r="AC8" s="10" cm="1">
        <f t="array" ref="AC8">_xlfn.LET(_xlpm.pts,INDEX(_xlfn.ANCHORARRAY($AD$4),0,6),1+COUNTIF(_xlpm.pts,"&gt;"&amp;INDEX(_xlfn.ANCHORARRAY($AD$4),ROW()-ROW($AC$4)+1,6)))</f>
        <v>4</v>
      </c>
      <c r="AD8" t="str">
        <v>Conor Walsh</v>
      </c>
      <c r="AE8" s="1">
        <v>2</v>
      </c>
      <c r="AF8" s="4">
        <v>3.2662037037037038E-2</v>
      </c>
      <c r="AG8" s="1">
        <v>33</v>
      </c>
      <c r="AH8" s="1">
        <v>0</v>
      </c>
      <c r="AI8" s="1">
        <v>33</v>
      </c>
      <c r="AK8" s="1" cm="1">
        <f t="array" ref="AK8">_xlfn.LET(_xlpm.pts,INDEX(_xlfn.ANCHORARRAY($AL$4),0,6),1+COUNTIF(_xlpm.pts,"&gt;"&amp;INDEX(_xlfn.ANCHORARRAY($AL$4),ROW()-ROW($AK$4)+1,6)))</f>
        <v>4</v>
      </c>
      <c r="AL8" t="str">
        <v>Denis Whelan</v>
      </c>
      <c r="AM8" s="1">
        <v>11</v>
      </c>
      <c r="AN8" s="4">
        <v>3.7256944444444447E-2</v>
      </c>
      <c r="AO8" s="1">
        <v>24</v>
      </c>
      <c r="AP8" s="1">
        <v>10</v>
      </c>
      <c r="AQ8" s="1">
        <v>34</v>
      </c>
      <c r="AS8" s="1" cm="1">
        <f t="array" ref="AS8">_xlfn.LET(_xlpm.pts,INDEX(_xlfn.ANCHORARRAY($AT$4),0,6),1+COUNTIF(_xlpm.pts,"&gt;"&amp;INDEX(_xlfn.ANCHORARRAY($AT$4),ROW()-ROW($AU$4)+1,6)))</f>
        <v>5</v>
      </c>
      <c r="AT8" t="str">
        <v>David Wong</v>
      </c>
      <c r="AU8" s="1">
        <v>11</v>
      </c>
      <c r="AV8" s="4">
        <v>2.5925925925925925E-2</v>
      </c>
      <c r="AW8" s="1">
        <v>24</v>
      </c>
      <c r="AX8" s="1">
        <v>10</v>
      </c>
      <c r="AY8" s="1">
        <v>34</v>
      </c>
    </row>
    <row r="9" spans="1:51" x14ac:dyDescent="0.2">
      <c r="A9" s="1" cm="1">
        <f t="array" ref="A9">_xlfn.LET(_xlpm.pts,INDEX(_xlfn.ANCHORARRAY($B$4),0,2),1+COUNTIF(_xlpm.pts,"&gt;"&amp;INDEX(_xlfn.ANCHORARRAY($B$4),ROW()-ROW($A$4)+1,2)))</f>
        <v>6</v>
      </c>
      <c r="B9" s="8" t="str">
        <v>Henrik Persson</v>
      </c>
      <c r="C9" s="1">
        <v>198</v>
      </c>
      <c r="E9" s="1" cm="1">
        <f t="array" ref="E9">_xlfn.LET(_xlpm.pts,INDEX(_xlfn.ANCHORARRAY($F$4),0,6),1+COUNTIF(_xlpm.pts,"&gt;"&amp;INDEX(_xlfn.ANCHORARRAY($F$4),ROW()-ROW($E$4)+1,6)))</f>
        <v>5</v>
      </c>
      <c r="F9" t="str">
        <v>Olly Wright</v>
      </c>
      <c r="G9" s="1">
        <v>12</v>
      </c>
      <c r="H9" s="4">
        <v>1.1805555555555555E-2</v>
      </c>
      <c r="I9" s="1">
        <v>23</v>
      </c>
      <c r="J9" s="1">
        <v>10</v>
      </c>
      <c r="K9" s="1">
        <v>33</v>
      </c>
      <c r="M9" s="1" cm="1">
        <f t="array" ref="M9">_xlfn.LET(_xlpm.pts,INDEX(_xlfn.ANCHORARRAY($N$4),0,6),1+COUNTIF(_xlpm.pts,"&gt;"&amp;INDEX(_xlfn.ANCHORARRAY($N$4),ROW()-ROW($M$4)+1,6)))</f>
        <v>1</v>
      </c>
      <c r="N9" t="str">
        <v>Tobi Rosenkranz</v>
      </c>
      <c r="O9" s="1">
        <v>3</v>
      </c>
      <c r="P9" s="4">
        <v>2.0868055555555556E-2</v>
      </c>
      <c r="Q9" s="1">
        <v>32</v>
      </c>
      <c r="R9" s="1">
        <v>5</v>
      </c>
      <c r="S9" s="1">
        <v>35</v>
      </c>
      <c r="U9" s="1" cm="1">
        <f t="array" ref="U9">_xlfn.LET(_xlpm.pts,INDEX(_xlfn.ANCHORARRAY($V$4),0,6),1+COUNTIF(_xlpm.pts,"&gt;"&amp;INDEX(_xlfn.ANCHORARRAY($V$4),ROW()-ROW($U$4)+1,6)))</f>
        <v>1</v>
      </c>
      <c r="V9" t="str">
        <v>Tobi Rosenkranz</v>
      </c>
      <c r="W9" s="1">
        <v>4</v>
      </c>
      <c r="X9" s="4">
        <v>1.741898148148148E-2</v>
      </c>
      <c r="Y9" s="1">
        <v>31</v>
      </c>
      <c r="Z9" s="1">
        <v>5</v>
      </c>
      <c r="AA9" s="1">
        <v>35</v>
      </c>
      <c r="AC9" s="10" cm="1">
        <f t="array" ref="AC9">_xlfn.LET(_xlpm.pts,INDEX(_xlfn.ANCHORARRAY($AD$4),0,6),1+COUNTIF(_xlpm.pts,"&gt;"&amp;INDEX(_xlfn.ANCHORARRAY($AD$4),ROW()-ROW($AC$4)+1,6)))</f>
        <v>6</v>
      </c>
      <c r="AD9" t="str">
        <v>David Willis</v>
      </c>
      <c r="AE9" s="1">
        <v>13</v>
      </c>
      <c r="AF9" s="4">
        <v>3.7372685185185189E-2</v>
      </c>
      <c r="AG9" s="1">
        <v>22</v>
      </c>
      <c r="AH9" s="1">
        <v>10</v>
      </c>
      <c r="AI9" s="1">
        <v>32</v>
      </c>
      <c r="AK9" s="1" cm="1">
        <f t="array" ref="AK9">_xlfn.LET(_xlpm.pts,INDEX(_xlfn.ANCHORARRAY($AL$4),0,6),1+COUNTIF(_xlpm.pts,"&gt;"&amp;INDEX(_xlfn.ANCHORARRAY($AL$4),ROW()-ROW($AK$4)+1,6)))</f>
        <v>4</v>
      </c>
      <c r="AL9" t="str">
        <v>Judah Rand</v>
      </c>
      <c r="AM9" s="1">
        <v>1</v>
      </c>
      <c r="AN9" s="4">
        <v>3.4155092592592591E-2</v>
      </c>
      <c r="AO9" s="1">
        <v>34</v>
      </c>
      <c r="AP9" s="1">
        <v>0</v>
      </c>
      <c r="AQ9" s="1">
        <v>34</v>
      </c>
      <c r="AS9" s="1" cm="1">
        <f t="array" ref="AS9">_xlfn.LET(_xlpm.pts,INDEX(_xlfn.ANCHORARRAY($AT$4),0,6),1+COUNTIF(_xlpm.pts,"&gt;"&amp;INDEX(_xlfn.ANCHORARRAY($AT$4),ROW()-ROW($AU$4)+1,6)))</f>
        <v>5</v>
      </c>
      <c r="AT9" t="str">
        <v>Tom Kennett</v>
      </c>
      <c r="AU9" s="1">
        <v>1</v>
      </c>
      <c r="AV9" s="4">
        <v>2.4687499999999998E-2</v>
      </c>
      <c r="AW9" s="1">
        <v>34</v>
      </c>
      <c r="AX9" s="1">
        <v>0</v>
      </c>
      <c r="AY9" s="1">
        <v>34</v>
      </c>
    </row>
    <row r="10" spans="1:51" x14ac:dyDescent="0.2">
      <c r="A10" s="1" cm="1">
        <f t="array" ref="A10">_xlfn.LET(_xlpm.pts,INDEX(_xlfn.ANCHORARRAY($B$4),0,2),1+COUNTIF(_xlpm.pts,"&gt;"&amp;INDEX(_xlfn.ANCHORARRAY($B$4),ROW()-ROW($A$4)+1,2)))</f>
        <v>7</v>
      </c>
      <c r="B10" s="8" t="str">
        <v>Alice Lethbridge</v>
      </c>
      <c r="C10" s="1">
        <v>196</v>
      </c>
      <c r="E10" s="1" cm="1">
        <f t="array" ref="E10">_xlfn.LET(_xlpm.pts,INDEX(_xlfn.ANCHORARRAY($F$4),0,6),1+COUNTIF(_xlpm.pts,"&gt;"&amp;INDEX(_xlfn.ANCHORARRAY($F$4),ROW()-ROW($E$4)+1,6)))</f>
        <v>5</v>
      </c>
      <c r="F10" t="str">
        <v>Tom Kennett</v>
      </c>
      <c r="G10" s="1">
        <v>2</v>
      </c>
      <c r="H10" s="4">
        <v>1.1562499999999998E-2</v>
      </c>
      <c r="I10" s="1">
        <v>33</v>
      </c>
      <c r="J10" s="1">
        <v>0</v>
      </c>
      <c r="K10" s="1">
        <v>33</v>
      </c>
      <c r="M10" s="1" cm="1">
        <f t="array" ref="M10">_xlfn.LET(_xlpm.pts,INDEX(_xlfn.ANCHORARRAY($N$4),0,6),1+COUNTIF(_xlpm.pts,"&gt;"&amp;INDEX(_xlfn.ANCHORARRAY($N$4),ROW()-ROW($M$4)+1,6)))</f>
        <v>7</v>
      </c>
      <c r="N10" t="str">
        <v>Judah Rand</v>
      </c>
      <c r="O10" s="1">
        <v>1</v>
      </c>
      <c r="P10" s="4">
        <v>2.0810185185185185E-2</v>
      </c>
      <c r="Q10" s="1">
        <v>34</v>
      </c>
      <c r="R10" s="1">
        <v>0</v>
      </c>
      <c r="S10" s="1">
        <v>34</v>
      </c>
      <c r="U10" s="1" cm="1">
        <f t="array" ref="U10">_xlfn.LET(_xlpm.pts,INDEX(_xlfn.ANCHORARRAY($V$4),0,6),1+COUNTIF(_xlpm.pts,"&gt;"&amp;INDEX(_xlfn.ANCHORARRAY($V$4),ROW()-ROW($U$4)+1,6)))</f>
        <v>7</v>
      </c>
      <c r="V10" t="str">
        <v>Judah Rand</v>
      </c>
      <c r="W10" s="1">
        <v>1</v>
      </c>
      <c r="X10" s="4">
        <v>1.7094907407407409E-2</v>
      </c>
      <c r="Y10" s="1">
        <v>34</v>
      </c>
      <c r="Z10" s="1">
        <v>0</v>
      </c>
      <c r="AA10" s="1">
        <v>34</v>
      </c>
      <c r="AC10" s="10" cm="1">
        <f t="array" ref="AC10">_xlfn.LET(_xlpm.pts,INDEX(_xlfn.ANCHORARRAY($AD$4),0,6),1+COUNTIF(_xlpm.pts,"&gt;"&amp;INDEX(_xlfn.ANCHORARRAY($AD$4),ROW()-ROW($AC$4)+1,6)))</f>
        <v>6</v>
      </c>
      <c r="AD10" t="str">
        <v>Eamon Mason</v>
      </c>
      <c r="AE10" s="1">
        <v>18</v>
      </c>
      <c r="AF10" s="4">
        <v>4.0150462962962964E-2</v>
      </c>
      <c r="AG10" s="1">
        <v>17</v>
      </c>
      <c r="AH10" s="1">
        <v>15</v>
      </c>
      <c r="AI10" s="1">
        <v>32</v>
      </c>
      <c r="AK10" s="1" cm="1">
        <f t="array" ref="AK10">_xlfn.LET(_xlpm.pts,INDEX(_xlfn.ANCHORARRAY($AL$4),0,6),1+COUNTIF(_xlpm.pts,"&gt;"&amp;INDEX(_xlfn.ANCHORARRAY($AL$4),ROW()-ROW($AK$4)+1,6)))</f>
        <v>7</v>
      </c>
      <c r="AL10" t="str">
        <v>Alice Lethbridge</v>
      </c>
      <c r="AM10" s="1">
        <v>7</v>
      </c>
      <c r="AN10" s="4">
        <v>3.636574074074074E-2</v>
      </c>
      <c r="AO10" s="1">
        <v>28</v>
      </c>
      <c r="AP10" s="1">
        <v>5</v>
      </c>
      <c r="AQ10" s="1">
        <v>33</v>
      </c>
      <c r="AS10" s="1" cm="1">
        <f t="array" ref="AS10">_xlfn.LET(_xlpm.pts,INDEX(_xlfn.ANCHORARRAY($AT$4),0,6),1+COUNTIF(_xlpm.pts,"&gt;"&amp;INDEX(_xlfn.ANCHORARRAY($AT$4),ROW()-ROW($AU$4)+1,6)))</f>
        <v>7</v>
      </c>
      <c r="AT10" t="str">
        <v>Ellen Lockett</v>
      </c>
      <c r="AU10" s="1">
        <v>17</v>
      </c>
      <c r="AV10" s="4">
        <v>2.6990740740740742E-2</v>
      </c>
      <c r="AW10" s="1">
        <v>18</v>
      </c>
      <c r="AX10" s="1">
        <v>15</v>
      </c>
      <c r="AY10" s="1">
        <v>33</v>
      </c>
    </row>
    <row r="11" spans="1:51" x14ac:dyDescent="0.2">
      <c r="A11" s="1" cm="1">
        <f t="array" ref="A11">_xlfn.LET(_xlpm.pts,INDEX(_xlfn.ANCHORARRAY($B$4),0,2),1+COUNTIF(_xlpm.pts,"&gt;"&amp;INDEX(_xlfn.ANCHORARRAY($B$4),ROW()-ROW($A$4)+1,2)))</f>
        <v>8</v>
      </c>
      <c r="B11" s="8" t="str">
        <v>Seb Ashton</v>
      </c>
      <c r="C11" s="1">
        <v>193</v>
      </c>
      <c r="E11" s="1" cm="1">
        <f t="array" ref="E11">_xlfn.LET(_xlpm.pts,INDEX(_xlfn.ANCHORARRAY($F$4),0,6),1+COUNTIF(_xlpm.pts,"&gt;"&amp;INDEX(_xlfn.ANCHORARRAY($F$4),ROW()-ROW($E$4)+1,6)))</f>
        <v>8</v>
      </c>
      <c r="F11" t="str">
        <v>Neil Grunshaw</v>
      </c>
      <c r="G11" s="1">
        <v>8</v>
      </c>
      <c r="H11" s="4">
        <v>1.1724537037037035E-2</v>
      </c>
      <c r="I11" s="1">
        <v>27</v>
      </c>
      <c r="J11" s="1">
        <v>5</v>
      </c>
      <c r="K11" s="1">
        <v>32</v>
      </c>
      <c r="M11" s="1" cm="1">
        <f t="array" ref="M11">_xlfn.LET(_xlpm.pts,INDEX(_xlfn.ANCHORARRAY($N$4),0,6),1+COUNTIF(_xlpm.pts,"&gt;"&amp;INDEX(_xlfn.ANCHORARRAY($N$4),ROW()-ROW($M$4)+1,6)))</f>
        <v>7</v>
      </c>
      <c r="N11" t="str">
        <v>Raif Oz</v>
      </c>
      <c r="O11" s="1">
        <v>6</v>
      </c>
      <c r="P11" s="4">
        <v>2.1064814814814814E-2</v>
      </c>
      <c r="Q11" s="1">
        <v>29</v>
      </c>
      <c r="R11" s="1">
        <v>5</v>
      </c>
      <c r="S11" s="1">
        <v>34</v>
      </c>
      <c r="U11" s="1" cm="1">
        <f t="array" ref="U11">_xlfn.LET(_xlpm.pts,INDEX(_xlfn.ANCHORARRAY($V$4),0,6),1+COUNTIF(_xlpm.pts,"&gt;"&amp;INDEX(_xlfn.ANCHORARRAY($V$4),ROW()-ROW($U$4)+1,6)))</f>
        <v>8</v>
      </c>
      <c r="V11" t="str">
        <v>Seb Ashton</v>
      </c>
      <c r="W11" s="1">
        <v>2</v>
      </c>
      <c r="X11" s="4">
        <v>1.7106481481481483E-2</v>
      </c>
      <c r="Y11" s="1">
        <v>33</v>
      </c>
      <c r="Z11" s="1">
        <v>0</v>
      </c>
      <c r="AA11" s="1">
        <v>33</v>
      </c>
      <c r="AC11" s="10" cm="1">
        <f t="array" ref="AC11">_xlfn.LET(_xlpm.pts,INDEX(_xlfn.ANCHORARRAY($AD$4),0,6),1+COUNTIF(_xlpm.pts,"&gt;"&amp;INDEX(_xlfn.ANCHORARRAY($AD$4),ROW()-ROW($AC$4)+1,6)))</f>
        <v>6</v>
      </c>
      <c r="AD11" t="str">
        <v>Henrik Persson</v>
      </c>
      <c r="AE11" s="1">
        <v>8</v>
      </c>
      <c r="AF11" s="4">
        <v>3.6180555555555556E-2</v>
      </c>
      <c r="AG11" s="1">
        <v>27</v>
      </c>
      <c r="AH11" s="1">
        <v>5</v>
      </c>
      <c r="AI11" s="1">
        <v>32</v>
      </c>
      <c r="AK11" s="1" cm="1">
        <f t="array" ref="AK11">_xlfn.LET(_xlpm.pts,INDEX(_xlfn.ANCHORARRAY($AL$4),0,6),1+COUNTIF(_xlpm.pts,"&gt;"&amp;INDEX(_xlfn.ANCHORARRAY($AL$4),ROW()-ROW($AK$4)+1,6)))</f>
        <v>7</v>
      </c>
      <c r="AL11" t="str">
        <v>Seb Ashton</v>
      </c>
      <c r="AM11" s="1">
        <v>2</v>
      </c>
      <c r="AN11" s="4">
        <v>3.4247685185185187E-2</v>
      </c>
      <c r="AO11" s="1">
        <v>33</v>
      </c>
      <c r="AP11" s="1">
        <v>0</v>
      </c>
      <c r="AQ11" s="1">
        <v>33</v>
      </c>
      <c r="AS11" s="1" cm="1">
        <f t="array" ref="AS11">_xlfn.LET(_xlpm.pts,INDEX(_xlfn.ANCHORARRAY($AT$4),0,6),1+COUNTIF(_xlpm.pts,"&gt;"&amp;INDEX(_xlfn.ANCHORARRAY($AT$4),ROW()-ROW($AU$4)+1,6)))</f>
        <v>7</v>
      </c>
      <c r="AT11" t="str">
        <v>Judah Rand</v>
      </c>
      <c r="AU11" s="1">
        <v>2</v>
      </c>
      <c r="AV11" s="4">
        <v>2.4849537037037035E-2</v>
      </c>
      <c r="AW11" s="1">
        <v>33</v>
      </c>
      <c r="AX11" s="1">
        <v>0</v>
      </c>
      <c r="AY11" s="1">
        <v>33</v>
      </c>
    </row>
    <row r="12" spans="1:51" x14ac:dyDescent="0.2">
      <c r="A12" s="1" cm="1">
        <f t="array" ref="A12">_xlfn.LET(_xlpm.pts,INDEX(_xlfn.ANCHORARRAY($B$4),0,2),1+COUNTIF(_xlpm.pts,"&gt;"&amp;INDEX(_xlfn.ANCHORARRAY($B$4),ROW()-ROW($A$4)+1,2)))</f>
        <v>9</v>
      </c>
      <c r="B12" s="8" t="str">
        <v>Neal Beauchamp</v>
      </c>
      <c r="C12" s="1">
        <v>191</v>
      </c>
      <c r="E12" s="1" cm="1">
        <f t="array" ref="E12">_xlfn.LET(_xlpm.pts,INDEX(_xlfn.ANCHORARRAY($F$4),0,6),1+COUNTIF(_xlpm.pts,"&gt;"&amp;INDEX(_xlfn.ANCHORARRAY($F$4),ROW()-ROW($E$4)+1,6)))</f>
        <v>8</v>
      </c>
      <c r="F12" t="str">
        <v>Richard Turner</v>
      </c>
      <c r="G12" s="1">
        <v>18</v>
      </c>
      <c r="H12" s="4">
        <v>1.2025462962962962E-2</v>
      </c>
      <c r="I12" s="1">
        <v>17</v>
      </c>
      <c r="J12" s="1">
        <v>15</v>
      </c>
      <c r="K12" s="1">
        <v>32</v>
      </c>
      <c r="M12" s="1" cm="1">
        <f t="array" ref="M12">_xlfn.LET(_xlpm.pts,INDEX(_xlfn.ANCHORARRAY($N$4),0,6),1+COUNTIF(_xlpm.pts,"&gt;"&amp;INDEX(_xlfn.ANCHORARRAY($N$4),ROW()-ROW($M$4)+1,6)))</f>
        <v>9</v>
      </c>
      <c r="N12" t="str">
        <v>Henrik Persson</v>
      </c>
      <c r="O12" s="1">
        <v>7</v>
      </c>
      <c r="P12" s="4">
        <v>2.1076388888888891E-2</v>
      </c>
      <c r="Q12" s="1">
        <v>28</v>
      </c>
      <c r="R12" s="1">
        <v>5</v>
      </c>
      <c r="S12" s="1">
        <v>33</v>
      </c>
      <c r="U12" s="1" cm="1">
        <f t="array" ref="U12">_xlfn.LET(_xlpm.pts,INDEX(_xlfn.ANCHORARRAY($V$4),0,6),1+COUNTIF(_xlpm.pts,"&gt;"&amp;INDEX(_xlfn.ANCHORARRAY($V$4),ROW()-ROW($U$4)+1,6)))</f>
        <v>9</v>
      </c>
      <c r="V12" t="str">
        <v>David Goddard</v>
      </c>
      <c r="W12" s="1">
        <v>18</v>
      </c>
      <c r="X12" s="4">
        <v>1.8483796296296297E-2</v>
      </c>
      <c r="Y12" s="1">
        <v>17</v>
      </c>
      <c r="Z12" s="1">
        <v>15</v>
      </c>
      <c r="AA12" s="1">
        <v>32</v>
      </c>
      <c r="AC12" s="10" cm="1">
        <f t="array" ref="AC12">_xlfn.LET(_xlpm.pts,INDEX(_xlfn.ANCHORARRAY($AD$4),0,6),1+COUNTIF(_xlpm.pts,"&gt;"&amp;INDEX(_xlfn.ANCHORARRAY($AD$4),ROW()-ROW($AC$4)+1,6)))</f>
        <v>6</v>
      </c>
      <c r="AD12" t="str">
        <v>Seb Ashton</v>
      </c>
      <c r="AE12" s="1">
        <v>3</v>
      </c>
      <c r="AF12" s="4">
        <v>3.3148148148148149E-2</v>
      </c>
      <c r="AG12" s="1">
        <v>32</v>
      </c>
      <c r="AH12" s="1">
        <v>0</v>
      </c>
      <c r="AI12" s="1">
        <v>32</v>
      </c>
      <c r="AK12" s="1" cm="1">
        <f t="array" ref="AK12">_xlfn.LET(_xlpm.pts,INDEX(_xlfn.ANCHORARRAY($AL$4),0,6),1+COUNTIF(_xlpm.pts,"&gt;"&amp;INDEX(_xlfn.ANCHORARRAY($AL$4),ROW()-ROW($AK$4)+1,6)))</f>
        <v>9</v>
      </c>
      <c r="AL12" t="str">
        <v>Henrik Persson</v>
      </c>
      <c r="AM12" s="1">
        <v>8</v>
      </c>
      <c r="AN12" s="4">
        <v>3.6469907407407402E-2</v>
      </c>
      <c r="AO12" s="1">
        <v>27</v>
      </c>
      <c r="AP12" s="1">
        <v>5</v>
      </c>
      <c r="AQ12" s="1">
        <v>32</v>
      </c>
      <c r="AS12" s="1" cm="1">
        <f t="array" ref="AS12">_xlfn.LET(_xlpm.pts,INDEX(_xlfn.ANCHORARRAY($AT$4),0,6),1+COUNTIF(_xlpm.pts,"&gt;"&amp;INDEX(_xlfn.ANCHORARRAY($AT$4),ROW()-ROW($AU$4)+1,6)))</f>
        <v>9</v>
      </c>
      <c r="AT12" t="str">
        <v>Alan Grant</v>
      </c>
      <c r="AU12" s="1">
        <v>13</v>
      </c>
      <c r="AV12" s="4">
        <v>2.6030092592592594E-2</v>
      </c>
      <c r="AW12" s="1">
        <v>22</v>
      </c>
      <c r="AX12" s="1">
        <v>10</v>
      </c>
      <c r="AY12" s="1">
        <v>32</v>
      </c>
    </row>
    <row r="13" spans="1:51" x14ac:dyDescent="0.2">
      <c r="A13" s="1" cm="1">
        <f t="array" ref="A13">_xlfn.LET(_xlpm.pts,INDEX(_xlfn.ANCHORARRAY($B$4),0,2),1+COUNTIF(_xlpm.pts,"&gt;"&amp;INDEX(_xlfn.ANCHORARRAY($B$4),ROW()-ROW($A$4)+1,2)))</f>
        <v>10</v>
      </c>
      <c r="B13" s="8" t="str">
        <v>Denis Whelan</v>
      </c>
      <c r="C13" s="1">
        <v>190</v>
      </c>
      <c r="E13" s="1" cm="1">
        <f t="array" ref="E13">_xlfn.LET(_xlpm.pts,INDEX(_xlfn.ANCHORARRAY($F$4),0,6),1+COUNTIF(_xlpm.pts,"&gt;"&amp;INDEX(_xlfn.ANCHORARRAY($F$4),ROW()-ROW($E$4)+1,6)))</f>
        <v>8</v>
      </c>
      <c r="F13" t="str">
        <v>Tobi Rosenkranz</v>
      </c>
      <c r="G13" s="1">
        <v>8</v>
      </c>
      <c r="H13" s="4">
        <v>1.1724537037037035E-2</v>
      </c>
      <c r="I13" s="1">
        <v>27</v>
      </c>
      <c r="J13" s="1">
        <v>5</v>
      </c>
      <c r="K13" s="1">
        <v>32</v>
      </c>
      <c r="M13" s="1" cm="1">
        <f t="array" ref="M13">_xlfn.LET(_xlpm.pts,INDEX(_xlfn.ANCHORARRAY($N$4),0,6),1+COUNTIF(_xlpm.pts,"&gt;"&amp;INDEX(_xlfn.ANCHORARRAY($N$4),ROW()-ROW($M$4)+1,6)))</f>
        <v>9</v>
      </c>
      <c r="N13" t="str">
        <v>Seb Ashton</v>
      </c>
      <c r="O13" s="1">
        <v>2</v>
      </c>
      <c r="P13" s="4">
        <v>2.0810185185185185E-2</v>
      </c>
      <c r="Q13" s="1">
        <v>33</v>
      </c>
      <c r="R13" s="1">
        <v>0</v>
      </c>
      <c r="S13" s="1">
        <v>33</v>
      </c>
      <c r="U13" s="1" cm="1">
        <f t="array" ref="U13">_xlfn.LET(_xlpm.pts,INDEX(_xlfn.ANCHORARRAY($V$4),0,6),1+COUNTIF(_xlpm.pts,"&gt;"&amp;INDEX(_xlfn.ANCHORARRAY($V$4),ROW()-ROW($U$4)+1,6)))</f>
        <v>9</v>
      </c>
      <c r="V13" t="str">
        <v>Denis Whelan</v>
      </c>
      <c r="W13" s="1">
        <v>13</v>
      </c>
      <c r="X13" s="4">
        <v>1.8124999999999999E-2</v>
      </c>
      <c r="Y13" s="1">
        <v>22</v>
      </c>
      <c r="Z13" s="1">
        <v>10</v>
      </c>
      <c r="AA13" s="1">
        <v>32</v>
      </c>
      <c r="AC13" s="10" cm="1">
        <f t="array" ref="AC13">_xlfn.LET(_xlpm.pts,INDEX(_xlfn.ANCHORARRAY($AD$4),0,6),1+COUNTIF(_xlpm.pts,"&gt;"&amp;INDEX(_xlfn.ANCHORARRAY($AD$4),ROW()-ROW($AC$4)+1,6)))</f>
        <v>10</v>
      </c>
      <c r="AD13" t="str">
        <v>Denis Whelan</v>
      </c>
      <c r="AE13" s="1">
        <v>14</v>
      </c>
      <c r="AF13" s="4">
        <v>3.7766203703703705E-2</v>
      </c>
      <c r="AG13" s="1">
        <v>21</v>
      </c>
      <c r="AH13" s="1">
        <v>10</v>
      </c>
      <c r="AI13" s="1">
        <v>31</v>
      </c>
      <c r="AK13" s="1" cm="1">
        <f t="array" ref="AK13">_xlfn.LET(_xlpm.pts,INDEX(_xlfn.ANCHORARRAY($AL$4),0,6),1+COUNTIF(_xlpm.pts,"&gt;"&amp;INDEX(_xlfn.ANCHORARRAY($AL$4),ROW()-ROW($AK$4)+1,6)))</f>
        <v>9</v>
      </c>
      <c r="AL13" t="str">
        <v>Tom Kennett</v>
      </c>
      <c r="AM13" s="1">
        <v>3</v>
      </c>
      <c r="AN13" s="4">
        <v>3.4409722222222223E-2</v>
      </c>
      <c r="AO13" s="1">
        <v>32</v>
      </c>
      <c r="AP13" s="1">
        <v>0</v>
      </c>
      <c r="AQ13" s="1">
        <v>32</v>
      </c>
      <c r="AS13" s="1" cm="1">
        <f t="array" ref="AS13">_xlfn.LET(_xlpm.pts,INDEX(_xlfn.ANCHORARRAY($AT$4),0,6),1+COUNTIF(_xlpm.pts,"&gt;"&amp;INDEX(_xlfn.ANCHORARRAY($AT$4),ROW()-ROW($AU$4)+1,6)))</f>
        <v>9</v>
      </c>
      <c r="AT13" t="str">
        <v>Denis Whelan</v>
      </c>
      <c r="AU13" s="1">
        <v>13</v>
      </c>
      <c r="AV13" s="4">
        <v>2.6030092592592594E-2</v>
      </c>
      <c r="AW13" s="1">
        <v>22</v>
      </c>
      <c r="AX13" s="1">
        <v>10</v>
      </c>
      <c r="AY13" s="1">
        <v>32</v>
      </c>
    </row>
    <row r="14" spans="1:51" x14ac:dyDescent="0.2">
      <c r="A14" s="1" cm="1">
        <f t="array" ref="A14">_xlfn.LET(_xlpm.pts,INDEX(_xlfn.ANCHORARRAY($B$4),0,2),1+COUNTIF(_xlpm.pts,"&gt;"&amp;INDEX(_xlfn.ANCHORARRAY($B$4),ROW()-ROW($A$4)+1,2)))</f>
        <v>11</v>
      </c>
      <c r="B14" s="8" t="str">
        <v>Tom Kennett</v>
      </c>
      <c r="C14" s="1">
        <v>184</v>
      </c>
      <c r="E14" s="1" cm="1">
        <f t="array" ref="E14">_xlfn.LET(_xlpm.pts,INDEX(_xlfn.ANCHORARRAY($F$4),0,6),1+COUNTIF(_xlpm.pts,"&gt;"&amp;INDEX(_xlfn.ANCHORARRAY($F$4),ROW()-ROW($E$4)+1,6)))</f>
        <v>11</v>
      </c>
      <c r="F14" t="str">
        <v>Eamon Mason</v>
      </c>
      <c r="G14" s="1">
        <v>19</v>
      </c>
      <c r="H14" s="4">
        <v>1.2083333333333333E-2</v>
      </c>
      <c r="I14" s="1">
        <v>16</v>
      </c>
      <c r="J14" s="1">
        <v>15</v>
      </c>
      <c r="K14" s="1">
        <v>31</v>
      </c>
      <c r="M14" s="1" cm="1">
        <f t="array" ref="M14">_xlfn.LET(_xlpm.pts,INDEX(_xlfn.ANCHORARRAY($N$4),0,6),1+COUNTIF(_xlpm.pts,"&gt;"&amp;INDEX(_xlfn.ANCHORARRAY($N$4),ROW()-ROW($M$4)+1,6)))</f>
        <v>11</v>
      </c>
      <c r="N14" t="str">
        <v>Tom Herbert</v>
      </c>
      <c r="O14" s="1">
        <v>8</v>
      </c>
      <c r="P14" s="4">
        <v>2.1122685185185185E-2</v>
      </c>
      <c r="Q14" s="1">
        <v>27</v>
      </c>
      <c r="R14" s="1">
        <v>5</v>
      </c>
      <c r="S14" s="1">
        <v>32</v>
      </c>
      <c r="U14" s="1" cm="1">
        <f t="array" ref="U14">_xlfn.LET(_xlpm.pts,INDEX(_xlfn.ANCHORARRAY($V$4),0,6),1+COUNTIF(_xlpm.pts,"&gt;"&amp;INDEX(_xlfn.ANCHORARRAY($V$4),ROW()-ROW($U$4)+1,6)))</f>
        <v>9</v>
      </c>
      <c r="V14" t="str">
        <v>Neal Beauchamp</v>
      </c>
      <c r="W14" s="1">
        <v>8</v>
      </c>
      <c r="X14" s="4">
        <v>1.744212962962963E-2</v>
      </c>
      <c r="Y14" s="1">
        <v>27</v>
      </c>
      <c r="Z14" s="1">
        <v>5</v>
      </c>
      <c r="AA14" s="1">
        <v>32</v>
      </c>
      <c r="AC14" s="10" cm="1">
        <f t="array" ref="AC14">_xlfn.LET(_xlpm.pts,INDEX(_xlfn.ANCHORARRAY($AD$4),0,6),1+COUNTIF(_xlpm.pts,"&gt;"&amp;INDEX(_xlfn.ANCHORARRAY($AD$4),ROW()-ROW($AC$4)+1,6)))</f>
        <v>10</v>
      </c>
      <c r="AD14" t="str">
        <v>Neil Grunshaw</v>
      </c>
      <c r="AE14" s="1">
        <v>9</v>
      </c>
      <c r="AF14" s="4">
        <v>3.6909722222222226E-2</v>
      </c>
      <c r="AG14" s="1">
        <v>26</v>
      </c>
      <c r="AH14" s="1">
        <v>5</v>
      </c>
      <c r="AI14" s="1">
        <v>31</v>
      </c>
      <c r="AK14" s="1" cm="1">
        <f t="array" ref="AK14">_xlfn.LET(_xlpm.pts,INDEX(_xlfn.ANCHORARRAY($AL$4),0,6),1+COUNTIF(_xlpm.pts,"&gt;"&amp;INDEX(_xlfn.ANCHORARRAY($AL$4),ROW()-ROW($AK$4)+1,6)))</f>
        <v>11</v>
      </c>
      <c r="AL14" t="str">
        <v>Bill McClatchie</v>
      </c>
      <c r="AM14" s="1">
        <v>14</v>
      </c>
      <c r="AN14" s="4">
        <v>3.784722222222222E-2</v>
      </c>
      <c r="AO14" s="1">
        <v>21</v>
      </c>
      <c r="AP14" s="1">
        <v>10</v>
      </c>
      <c r="AQ14" s="1">
        <v>31</v>
      </c>
      <c r="AS14" s="1" cm="1">
        <f t="array" ref="AS14">_xlfn.LET(_xlpm.pts,INDEX(_xlfn.ANCHORARRAY($AT$4),0,6),1+COUNTIF(_xlpm.pts,"&gt;"&amp;INDEX(_xlfn.ANCHORARRAY($AT$4),ROW()-ROW($AU$4)+1,6)))</f>
        <v>9</v>
      </c>
      <c r="AT14" t="str">
        <v>Neal Beauchamp</v>
      </c>
      <c r="AU14" s="1">
        <v>8</v>
      </c>
      <c r="AV14" s="4">
        <v>2.5601851851851851E-2</v>
      </c>
      <c r="AW14" s="1">
        <v>27</v>
      </c>
      <c r="AX14" s="1">
        <v>5</v>
      </c>
      <c r="AY14" s="1">
        <v>32</v>
      </c>
    </row>
    <row r="15" spans="1:51" x14ac:dyDescent="0.2">
      <c r="A15" s="1" cm="1">
        <f t="array" ref="A15">_xlfn.LET(_xlpm.pts,INDEX(_xlfn.ANCHORARRAY($B$4),0,2),1+COUNTIF(_xlpm.pts,"&gt;"&amp;INDEX(_xlfn.ANCHORARRAY($B$4),ROW()-ROW($A$4)+1,2)))</f>
        <v>12</v>
      </c>
      <c r="B15" s="8" t="str">
        <v>David Goddard</v>
      </c>
      <c r="C15" s="1">
        <v>177</v>
      </c>
      <c r="E15" s="1" cm="1">
        <f t="array" ref="E15">_xlfn.LET(_xlpm.pts,INDEX(_xlfn.ANCHORARRAY($F$4),0,6),1+COUNTIF(_xlpm.pts,"&gt;"&amp;INDEX(_xlfn.ANCHORARRAY($F$4),ROW()-ROW($E$4)+1,6)))</f>
        <v>12</v>
      </c>
      <c r="F15" t="str">
        <v>David Willis</v>
      </c>
      <c r="G15" s="1">
        <v>15</v>
      </c>
      <c r="H15" s="4">
        <v>1.1967592592592592E-2</v>
      </c>
      <c r="I15" s="1">
        <v>20</v>
      </c>
      <c r="J15" s="1">
        <v>10</v>
      </c>
      <c r="K15" s="1">
        <v>30</v>
      </c>
      <c r="M15" s="1" cm="1">
        <f t="array" ref="M15">_xlfn.LET(_xlpm.pts,INDEX(_xlfn.ANCHORARRAY($N$4),0,6),1+COUNTIF(_xlpm.pts,"&gt;"&amp;INDEX(_xlfn.ANCHORARRAY($N$4),ROW()-ROW($M$4)+1,6)))</f>
        <v>12</v>
      </c>
      <c r="N15" t="str">
        <v>David Goddard</v>
      </c>
      <c r="O15" s="1">
        <v>19</v>
      </c>
      <c r="P15" s="4">
        <v>2.2442129629629631E-2</v>
      </c>
      <c r="Q15" s="1">
        <v>16</v>
      </c>
      <c r="R15" s="1">
        <v>15</v>
      </c>
      <c r="S15" s="1">
        <v>31</v>
      </c>
      <c r="U15" s="1" cm="1">
        <f t="array" ref="U15">_xlfn.LET(_xlpm.pts,INDEX(_xlfn.ANCHORARRAY($V$4),0,6),1+COUNTIF(_xlpm.pts,"&gt;"&amp;INDEX(_xlfn.ANCHORARRAY($V$4),ROW()-ROW($U$4)+1,6)))</f>
        <v>12</v>
      </c>
      <c r="V15" t="str">
        <v>Tom Herbert</v>
      </c>
      <c r="W15" s="1">
        <v>10</v>
      </c>
      <c r="X15" s="4">
        <v>1.7627314814814814E-2</v>
      </c>
      <c r="Y15" s="1">
        <v>25</v>
      </c>
      <c r="Z15" s="1">
        <v>5</v>
      </c>
      <c r="AA15" s="1">
        <v>30</v>
      </c>
      <c r="AC15" s="10" cm="1">
        <f t="array" ref="AC15">_xlfn.LET(_xlpm.pts,INDEX(_xlfn.ANCHORARRAY($AD$4),0,6),1+COUNTIF(_xlpm.pts,"&gt;"&amp;INDEX(_xlfn.ANCHORARRAY($AD$4),ROW()-ROW($AC$4)+1,6)))</f>
        <v>10</v>
      </c>
      <c r="AD15" t="str">
        <v>Tom Kennett</v>
      </c>
      <c r="AE15" s="1">
        <v>4</v>
      </c>
      <c r="AF15" s="4">
        <v>3.4270833333333334E-2</v>
      </c>
      <c r="AG15" s="1">
        <v>31</v>
      </c>
      <c r="AH15" s="1">
        <v>0</v>
      </c>
      <c r="AI15" s="1">
        <v>31</v>
      </c>
      <c r="AK15" s="1" cm="1">
        <f t="array" ref="AK15">_xlfn.LET(_xlpm.pts,INDEX(_xlfn.ANCHORARRAY($AL$4),0,6),1+COUNTIF(_xlpm.pts,"&gt;"&amp;INDEX(_xlfn.ANCHORARRAY($AL$4),ROW()-ROW($AK$4)+1,6)))</f>
        <v>11</v>
      </c>
      <c r="AL15" t="str">
        <v>Neal Beauchamp</v>
      </c>
      <c r="AM15" s="1">
        <v>9</v>
      </c>
      <c r="AN15" s="4">
        <v>3.6527777777777777E-2</v>
      </c>
      <c r="AO15" s="1">
        <v>26</v>
      </c>
      <c r="AP15" s="1">
        <v>5</v>
      </c>
      <c r="AQ15" s="1">
        <v>31</v>
      </c>
      <c r="AS15" s="1" cm="1">
        <f t="array" ref="AS15">_xlfn.LET(_xlpm.pts,INDEX(_xlfn.ANCHORARRAY($AT$4),0,6),1+COUNTIF(_xlpm.pts,"&gt;"&amp;INDEX(_xlfn.ANCHORARRAY($AT$4),ROW()-ROW($AU$4)+1,6)))</f>
        <v>9</v>
      </c>
      <c r="AT15" t="str">
        <v>Paul Davey</v>
      </c>
      <c r="AU15" s="1">
        <v>18</v>
      </c>
      <c r="AV15" s="4">
        <v>2.7164351851851853E-2</v>
      </c>
      <c r="AW15" s="1">
        <v>17</v>
      </c>
      <c r="AX15" s="1">
        <v>15</v>
      </c>
      <c r="AY15" s="1">
        <v>32</v>
      </c>
    </row>
    <row r="16" spans="1:51" x14ac:dyDescent="0.2">
      <c r="A16" s="1" cm="1">
        <f t="array" ref="A16">_xlfn.LET(_xlpm.pts,INDEX(_xlfn.ANCHORARRAY($B$4),0,2),1+COUNTIF(_xlpm.pts,"&gt;"&amp;INDEX(_xlfn.ANCHORARRAY($B$4),ROW()-ROW($A$4)+1,2)))</f>
        <v>13</v>
      </c>
      <c r="B16" s="8" t="str">
        <v>Tom Herbert</v>
      </c>
      <c r="C16" s="1">
        <v>175</v>
      </c>
      <c r="E16" s="1" cm="1">
        <f t="array" ref="E16">_xlfn.LET(_xlpm.pts,INDEX(_xlfn.ANCHORARRAY($F$4),0,6),1+COUNTIF(_xlpm.pts,"&gt;"&amp;INDEX(_xlfn.ANCHORARRAY($F$4),ROW()-ROW($E$4)+1,6)))</f>
        <v>12</v>
      </c>
      <c r="F16" t="str">
        <v>Denis Whelan</v>
      </c>
      <c r="G16" s="1">
        <v>15</v>
      </c>
      <c r="H16" s="4">
        <v>1.1967592592592592E-2</v>
      </c>
      <c r="I16" s="1">
        <v>20</v>
      </c>
      <c r="J16" s="1">
        <v>10</v>
      </c>
      <c r="K16" s="1">
        <v>30</v>
      </c>
      <c r="M16" s="1" cm="1">
        <f t="array" ref="M16">_xlfn.LET(_xlpm.pts,INDEX(_xlfn.ANCHORARRAY($N$4),0,6),1+COUNTIF(_xlpm.pts,"&gt;"&amp;INDEX(_xlfn.ANCHORARRAY($N$4),ROW()-ROW($M$4)+1,6)))</f>
        <v>12</v>
      </c>
      <c r="N16" t="str">
        <v>Denis Whelan</v>
      </c>
      <c r="O16" s="1">
        <v>14</v>
      </c>
      <c r="P16" s="4">
        <v>2.1712962962962962E-2</v>
      </c>
      <c r="Q16" s="1">
        <v>21</v>
      </c>
      <c r="R16" s="1">
        <v>10</v>
      </c>
      <c r="S16" s="1">
        <v>31</v>
      </c>
      <c r="U16" s="1" cm="1">
        <f t="array" ref="U16">_xlfn.LET(_xlpm.pts,INDEX(_xlfn.ANCHORARRAY($V$4),0,6),1+COUNTIF(_xlpm.pts,"&gt;"&amp;INDEX(_xlfn.ANCHORARRAY($V$4),ROW()-ROW($U$4)+1,6)))</f>
        <v>13</v>
      </c>
      <c r="V16" t="str">
        <v>Chris Jenkins</v>
      </c>
      <c r="W16" s="1">
        <v>11</v>
      </c>
      <c r="X16" s="4">
        <v>1.800925925925926E-2</v>
      </c>
      <c r="Y16" s="1">
        <v>24</v>
      </c>
      <c r="Z16" s="1">
        <v>5</v>
      </c>
      <c r="AA16" s="1">
        <v>29</v>
      </c>
      <c r="AC16" s="10" cm="1">
        <f t="array" ref="AC16">_xlfn.LET(_xlpm.pts,INDEX(_xlfn.ANCHORARRAY($AD$4),0,6),1+COUNTIF(_xlpm.pts,"&gt;"&amp;INDEX(_xlfn.ANCHORARRAY($AD$4),ROW()-ROW($AC$4)+1,6)))</f>
        <v>13</v>
      </c>
      <c r="AD16" t="str">
        <v>Barry Moulder</v>
      </c>
      <c r="AE16" s="1">
        <v>15</v>
      </c>
      <c r="AF16" s="4">
        <v>3.788194444444444E-2</v>
      </c>
      <c r="AG16" s="1">
        <v>20</v>
      </c>
      <c r="AH16" s="1">
        <v>10</v>
      </c>
      <c r="AI16" s="1">
        <v>30</v>
      </c>
      <c r="AK16" s="1" cm="1">
        <f t="array" ref="AK16">_xlfn.LET(_xlpm.pts,INDEX(_xlfn.ANCHORARRAY($AL$4),0,6),1+COUNTIF(_xlpm.pts,"&gt;"&amp;INDEX(_xlfn.ANCHORARRAY($AL$4),ROW()-ROW($AK$4)+1,6)))</f>
        <v>11</v>
      </c>
      <c r="AL16" t="str">
        <v>Paul Davey</v>
      </c>
      <c r="AM16" s="1">
        <v>19</v>
      </c>
      <c r="AN16" s="4">
        <v>3.9918981481481479E-2</v>
      </c>
      <c r="AO16" s="1">
        <v>16</v>
      </c>
      <c r="AP16" s="1">
        <v>15</v>
      </c>
      <c r="AQ16" s="1">
        <v>31</v>
      </c>
      <c r="AS16" s="1" cm="1">
        <f t="array" ref="AS16">_xlfn.LET(_xlpm.pts,INDEX(_xlfn.ANCHORARRAY($AT$4),0,6),1+COUNTIF(_xlpm.pts,"&gt;"&amp;INDEX(_xlfn.ANCHORARRAY($AT$4),ROW()-ROW($AU$4)+1,6)))</f>
        <v>9</v>
      </c>
      <c r="AT16" t="str">
        <v>Seb Ashton</v>
      </c>
      <c r="AU16" s="1">
        <v>3</v>
      </c>
      <c r="AV16" s="4">
        <v>2.494212962962963E-2</v>
      </c>
      <c r="AW16" s="1">
        <v>32</v>
      </c>
      <c r="AX16" s="1">
        <v>0</v>
      </c>
      <c r="AY16" s="1">
        <v>32</v>
      </c>
    </row>
    <row r="17" spans="1:51" x14ac:dyDescent="0.2">
      <c r="A17" s="1" cm="1">
        <f t="array" ref="A17">_xlfn.LET(_xlpm.pts,INDEX(_xlfn.ANCHORARRAY($B$4),0,2),1+COUNTIF(_xlpm.pts,"&gt;"&amp;INDEX(_xlfn.ANCHORARRAY($B$4),ROW()-ROW($A$4)+1,2)))</f>
        <v>14</v>
      </c>
      <c r="B17" s="8" t="str">
        <v>Neil Grunshaw</v>
      </c>
      <c r="C17" s="1">
        <v>171</v>
      </c>
      <c r="E17" s="1" cm="1">
        <f t="array" ref="E17">_xlfn.LET(_xlpm.pts,INDEX(_xlfn.ANCHORARRAY($F$4),0,6),1+COUNTIF(_xlpm.pts,"&gt;"&amp;INDEX(_xlfn.ANCHORARRAY($F$4),ROW()-ROW($E$4)+1,6)))</f>
        <v>12</v>
      </c>
      <c r="F17" t="str">
        <v>Judah Rand</v>
      </c>
      <c r="G17" s="1">
        <v>5</v>
      </c>
      <c r="H17" s="4">
        <v>1.1608796296296296E-2</v>
      </c>
      <c r="I17" s="1">
        <v>30</v>
      </c>
      <c r="J17" s="1">
        <v>0</v>
      </c>
      <c r="K17" s="1">
        <v>30</v>
      </c>
      <c r="M17" s="1" cm="1">
        <f t="array" ref="M17">_xlfn.LET(_xlpm.pts,INDEX(_xlfn.ANCHORARRAY($N$4),0,6),1+COUNTIF(_xlpm.pts,"&gt;"&amp;INDEX(_xlfn.ANCHORARRAY($N$4),ROW()-ROW($M$4)+1,6)))</f>
        <v>14</v>
      </c>
      <c r="N17" t="str">
        <v>Chris Jenkins</v>
      </c>
      <c r="O17" s="1">
        <v>11</v>
      </c>
      <c r="P17" s="4">
        <v>2.1365740740740741E-2</v>
      </c>
      <c r="Q17" s="1">
        <v>24</v>
      </c>
      <c r="R17" s="1">
        <v>5</v>
      </c>
      <c r="S17" s="1">
        <v>29</v>
      </c>
      <c r="U17" s="1" cm="1">
        <f t="array" ref="U17">_xlfn.LET(_xlpm.pts,INDEX(_xlfn.ANCHORARRAY($V$4),0,6),1+COUNTIF(_xlpm.pts,"&gt;"&amp;INDEX(_xlfn.ANCHORARRAY($V$4),ROW()-ROW($U$4)+1,6)))</f>
        <v>13</v>
      </c>
      <c r="V17" t="str">
        <v>Ellen Lockett</v>
      </c>
      <c r="W17" s="1">
        <v>21</v>
      </c>
      <c r="X17" s="4">
        <v>1.8680555555555554E-2</v>
      </c>
      <c r="Y17" s="1">
        <v>14</v>
      </c>
      <c r="Z17" s="1">
        <v>15</v>
      </c>
      <c r="AA17" s="1">
        <v>29</v>
      </c>
      <c r="AC17" s="10" cm="1">
        <f t="array" ref="AC17">_xlfn.LET(_xlpm.pts,INDEX(_xlfn.ANCHORARRAY($AD$4),0,6),1+COUNTIF(_xlpm.pts,"&gt;"&amp;INDEX(_xlfn.ANCHORARRAY($AD$4),ROW()-ROW($AC$4)+1,6)))</f>
        <v>13</v>
      </c>
      <c r="AD17" t="str">
        <v>Tobi Rosenkranz</v>
      </c>
      <c r="AE17" s="1">
        <v>10</v>
      </c>
      <c r="AF17" s="4">
        <v>3.7164351851851851E-2</v>
      </c>
      <c r="AG17" s="1">
        <v>25</v>
      </c>
      <c r="AH17" s="1">
        <v>5</v>
      </c>
      <c r="AI17" s="1">
        <v>30</v>
      </c>
      <c r="AK17" s="1" cm="1">
        <f t="array" ref="AK17">_xlfn.LET(_xlpm.pts,INDEX(_xlfn.ANCHORARRAY($AL$4),0,6),1+COUNTIF(_xlpm.pts,"&gt;"&amp;INDEX(_xlfn.ANCHORARRAY($AL$4),ROW()-ROW($AK$4)+1,6)))</f>
        <v>14</v>
      </c>
      <c r="AL17" t="str">
        <v>David Wong</v>
      </c>
      <c r="AM17" s="1">
        <v>16</v>
      </c>
      <c r="AN17" s="4">
        <v>3.8009259259259263E-2</v>
      </c>
      <c r="AO17" s="1">
        <v>19</v>
      </c>
      <c r="AP17" s="1">
        <v>10</v>
      </c>
      <c r="AQ17" s="1">
        <v>29</v>
      </c>
      <c r="AS17" s="1" cm="1">
        <f t="array" ref="AS17">_xlfn.LET(_xlpm.pts,INDEX(_xlfn.ANCHORARRAY($AT$4),0,6),1+COUNTIF(_xlpm.pts,"&gt;"&amp;INDEX(_xlfn.ANCHORARRAY($AT$4),ROW()-ROW($AU$4)+1,6)))</f>
        <v>14</v>
      </c>
      <c r="AT17" t="str">
        <v>Henrik Persson</v>
      </c>
      <c r="AU17" s="1">
        <v>9</v>
      </c>
      <c r="AV17" s="4">
        <v>2.5613425925925925E-2</v>
      </c>
      <c r="AW17" s="1">
        <v>26</v>
      </c>
      <c r="AX17" s="1">
        <v>5</v>
      </c>
      <c r="AY17" s="1">
        <v>31</v>
      </c>
    </row>
    <row r="18" spans="1:51" x14ac:dyDescent="0.2">
      <c r="A18" s="1" cm="1">
        <f t="array" ref="A18">_xlfn.LET(_xlpm.pts,INDEX(_xlfn.ANCHORARRAY($B$4),0,2),1+COUNTIF(_xlpm.pts,"&gt;"&amp;INDEX(_xlfn.ANCHORARRAY($B$4),ROW()-ROW($A$4)+1,2)))</f>
        <v>15</v>
      </c>
      <c r="B18" s="8" t="str">
        <v>Chris Jenkins</v>
      </c>
      <c r="C18" s="1">
        <v>169</v>
      </c>
      <c r="E18" s="1" cm="1">
        <f t="array" ref="E18">_xlfn.LET(_xlpm.pts,INDEX(_xlfn.ANCHORARRAY($F$4),0,6),1+COUNTIF(_xlpm.pts,"&gt;"&amp;INDEX(_xlfn.ANCHORARRAY($F$4),ROW()-ROW($E$4)+1,6)))</f>
        <v>12</v>
      </c>
      <c r="F18" t="str">
        <v>Seb Ashton</v>
      </c>
      <c r="G18" s="1">
        <v>5</v>
      </c>
      <c r="H18" s="4">
        <v>1.1608796296296296E-2</v>
      </c>
      <c r="I18" s="1">
        <v>30</v>
      </c>
      <c r="J18" s="1">
        <v>0</v>
      </c>
      <c r="K18" s="1">
        <v>30</v>
      </c>
      <c r="M18" s="1" cm="1">
        <f t="array" ref="M18">_xlfn.LET(_xlpm.pts,INDEX(_xlfn.ANCHORARRAY($N$4),0,6),1+COUNTIF(_xlpm.pts,"&gt;"&amp;INDEX(_xlfn.ANCHORARRAY($N$4),ROW()-ROW($M$4)+1,6)))</f>
        <v>15</v>
      </c>
      <c r="N18" t="str">
        <v>Paul Davey</v>
      </c>
      <c r="O18" s="1">
        <v>22</v>
      </c>
      <c r="P18" s="4">
        <v>2.2534722222222223E-2</v>
      </c>
      <c r="Q18" s="1">
        <v>13</v>
      </c>
      <c r="R18" s="1">
        <v>15</v>
      </c>
      <c r="S18" s="1">
        <v>28</v>
      </c>
      <c r="U18" s="1" cm="1">
        <f t="array" ref="U18">_xlfn.LET(_xlpm.pts,INDEX(_xlfn.ANCHORARRAY($V$4),0,6),1+COUNTIF(_xlpm.pts,"&gt;"&amp;INDEX(_xlfn.ANCHORARRAY($V$4),ROW()-ROW($U$4)+1,6)))</f>
        <v>15</v>
      </c>
      <c r="V18" t="str">
        <v>Barry Moulder</v>
      </c>
      <c r="W18" s="1">
        <v>17</v>
      </c>
      <c r="X18" s="4">
        <v>1.834490740740741E-2</v>
      </c>
      <c r="Y18" s="1">
        <v>18</v>
      </c>
      <c r="Z18" s="1">
        <v>10</v>
      </c>
      <c r="AA18" s="1">
        <v>28</v>
      </c>
      <c r="AC18" s="10" cm="1">
        <f t="array" ref="AC18">_xlfn.LET(_xlpm.pts,INDEX(_xlfn.ANCHORARRAY($AD$4),0,6),1+COUNTIF(_xlpm.pts,"&gt;"&amp;INDEX(_xlfn.ANCHORARRAY($AD$4),ROW()-ROW($AC$4)+1,6)))</f>
        <v>15</v>
      </c>
      <c r="AD18" t="str">
        <v>Bill McClatchie</v>
      </c>
      <c r="AE18" s="1">
        <v>16</v>
      </c>
      <c r="AF18" s="4">
        <v>3.8032407407407411E-2</v>
      </c>
      <c r="AG18" s="1">
        <v>19</v>
      </c>
      <c r="AH18" s="1">
        <v>10</v>
      </c>
      <c r="AI18" s="1">
        <v>29</v>
      </c>
      <c r="AK18" s="1" cm="1">
        <f t="array" ref="AK18">_xlfn.LET(_xlpm.pts,INDEX(_xlfn.ANCHORARRAY($AL$4),0,6),1+COUNTIF(_xlpm.pts,"&gt;"&amp;INDEX(_xlfn.ANCHORARRAY($AL$4),ROW()-ROW($AK$4)+1,6)))</f>
        <v>14</v>
      </c>
      <c r="AL18" t="str">
        <v>Ellen Lockett</v>
      </c>
      <c r="AM18" s="1">
        <v>21</v>
      </c>
      <c r="AN18" s="4">
        <v>4.1226851851851855E-2</v>
      </c>
      <c r="AO18" s="1">
        <v>14</v>
      </c>
      <c r="AP18" s="1">
        <v>15</v>
      </c>
      <c r="AQ18" s="1">
        <v>29</v>
      </c>
      <c r="AS18" s="1" cm="1">
        <f t="array" ref="AS18">_xlfn.LET(_xlpm.pts,INDEX(_xlfn.ANCHORARRAY($AT$4),0,6),1+COUNTIF(_xlpm.pts,"&gt;"&amp;INDEX(_xlfn.ANCHORARRAY($AT$4),ROW()-ROW($AU$4)+1,6)))</f>
        <v>15</v>
      </c>
      <c r="AT18" t="str">
        <v>Conor Walsh</v>
      </c>
      <c r="AU18" s="1">
        <v>5</v>
      </c>
      <c r="AV18" s="4">
        <v>2.5555555555555554E-2</v>
      </c>
      <c r="AW18" s="1">
        <v>30</v>
      </c>
      <c r="AX18" s="1">
        <v>0</v>
      </c>
      <c r="AY18" s="1">
        <v>30</v>
      </c>
    </row>
    <row r="19" spans="1:51" x14ac:dyDescent="0.2">
      <c r="A19" s="1" cm="1">
        <f t="array" ref="A19">_xlfn.LET(_xlpm.pts,INDEX(_xlfn.ANCHORARRAY($B$4),0,2),1+COUNTIF(_xlpm.pts,"&gt;"&amp;INDEX(_xlfn.ANCHORARRAY($B$4),ROW()-ROW($A$4)+1,2)))</f>
        <v>16</v>
      </c>
      <c r="B19" s="8" t="str">
        <v>David Wong</v>
      </c>
      <c r="C19" s="1">
        <v>167</v>
      </c>
      <c r="E19" s="1" cm="1">
        <f t="array" ref="E19">_xlfn.LET(_xlpm.pts,INDEX(_xlfn.ANCHORARRAY($F$4),0,6),1+COUNTIF(_xlpm.pts,"&gt;"&amp;INDEX(_xlfn.ANCHORARRAY($F$4),ROW()-ROW($E$4)+1,6)))</f>
        <v>16</v>
      </c>
      <c r="F19" t="str">
        <v>David Goddard</v>
      </c>
      <c r="G19" s="1">
        <v>21</v>
      </c>
      <c r="H19" s="4">
        <v>1.2256944444444444E-2</v>
      </c>
      <c r="I19" s="1">
        <v>14</v>
      </c>
      <c r="J19" s="1">
        <v>15</v>
      </c>
      <c r="K19" s="1">
        <v>29</v>
      </c>
      <c r="M19" s="1" cm="1">
        <f t="array" ref="M19">_xlfn.LET(_xlpm.pts,INDEX(_xlfn.ANCHORARRAY($N$4),0,6),1+COUNTIF(_xlpm.pts,"&gt;"&amp;INDEX(_xlfn.ANCHORARRAY($N$4),ROW()-ROW($M$4)+1,6)))</f>
        <v>16</v>
      </c>
      <c r="N19" t="str">
        <v>Alan Grant</v>
      </c>
      <c r="O19" s="1">
        <v>18</v>
      </c>
      <c r="P19" s="4">
        <v>2.2349537037037032E-2</v>
      </c>
      <c r="Q19" s="1">
        <v>17</v>
      </c>
      <c r="R19" s="1">
        <v>10</v>
      </c>
      <c r="S19" s="1">
        <v>27</v>
      </c>
      <c r="U19" s="1" cm="1">
        <f t="array" ref="U19">_xlfn.LET(_xlpm.pts,INDEX(_xlfn.ANCHORARRAY($V$4),0,6),1+COUNTIF(_xlpm.pts,"&gt;"&amp;INDEX(_xlfn.ANCHORARRAY($V$4),ROW()-ROW($U$4)+1,6)))</f>
        <v>15</v>
      </c>
      <c r="V19" t="str">
        <v>Neil Grunshaw</v>
      </c>
      <c r="W19" s="1">
        <v>12</v>
      </c>
      <c r="X19" s="4">
        <v>1.8113425925925925E-2</v>
      </c>
      <c r="Y19" s="1">
        <v>23</v>
      </c>
      <c r="Z19" s="1">
        <v>5</v>
      </c>
      <c r="AA19" s="1">
        <v>28</v>
      </c>
      <c r="AC19" s="10" cm="1">
        <f t="array" ref="AC19">_xlfn.LET(_xlpm.pts,INDEX(_xlfn.ANCHORARRAY($AD$4),0,6),1+COUNTIF(_xlpm.pts,"&gt;"&amp;INDEX(_xlfn.ANCHORARRAY($AD$4),ROW()-ROW($AC$4)+1,6)))</f>
        <v>15</v>
      </c>
      <c r="AD19" t="str">
        <v>Ellen Lockett</v>
      </c>
      <c r="AE19" s="1">
        <v>21</v>
      </c>
      <c r="AF19" s="4">
        <v>4.1979166666666672E-2</v>
      </c>
      <c r="AG19" s="1">
        <v>14</v>
      </c>
      <c r="AH19" s="1">
        <v>15</v>
      </c>
      <c r="AI19" s="1">
        <v>29</v>
      </c>
      <c r="AK19" s="1" cm="1">
        <f t="array" ref="AK19">_xlfn.LET(_xlpm.pts,INDEX(_xlfn.ANCHORARRAY($AL$4),0,6),1+COUNTIF(_xlpm.pts,"&gt;"&amp;INDEX(_xlfn.ANCHORARRAY($AL$4),ROW()-ROW($AK$4)+1,6)))</f>
        <v>16</v>
      </c>
      <c r="AL19" t="str">
        <v>Barry Moulder</v>
      </c>
      <c r="AM19" s="1">
        <v>17</v>
      </c>
      <c r="AN19" s="4">
        <v>3.8726851851851853E-2</v>
      </c>
      <c r="AO19" s="1">
        <v>18</v>
      </c>
      <c r="AP19" s="1">
        <v>10</v>
      </c>
      <c r="AQ19" s="1">
        <v>28</v>
      </c>
      <c r="AS19" s="1" cm="1">
        <f t="array" ref="AS19">_xlfn.LET(_xlpm.pts,INDEX(_xlfn.ANCHORARRAY($AT$4),0,6),1+COUNTIF(_xlpm.pts,"&gt;"&amp;INDEX(_xlfn.ANCHORARRAY($AT$4),ROW()-ROW($AU$4)+1,6)))</f>
        <v>15</v>
      </c>
      <c r="AT19" t="str">
        <v>David Goddard</v>
      </c>
      <c r="AU19" s="1">
        <v>20</v>
      </c>
      <c r="AV19" s="4">
        <v>2.7569444444444448E-2</v>
      </c>
      <c r="AW19" s="1">
        <v>15</v>
      </c>
      <c r="AX19" s="1">
        <v>15</v>
      </c>
      <c r="AY19" s="1">
        <v>30</v>
      </c>
    </row>
    <row r="20" spans="1:51" x14ac:dyDescent="0.2">
      <c r="A20" s="1" cm="1">
        <f t="array" ref="A20">_xlfn.LET(_xlpm.pts,INDEX(_xlfn.ANCHORARRAY($B$4),0,2),1+COUNTIF(_xlpm.pts,"&gt;"&amp;INDEX(_xlfn.ANCHORARRAY($B$4),ROW()-ROW($A$4)+1,2)))</f>
        <v>16</v>
      </c>
      <c r="B20" s="8" t="str">
        <v>Paul Davey</v>
      </c>
      <c r="C20" s="1">
        <v>167</v>
      </c>
      <c r="E20" s="1" cm="1">
        <f t="array" ref="E20">_xlfn.LET(_xlpm.pts,INDEX(_xlfn.ANCHORARRAY($F$4),0,6),1+COUNTIF(_xlpm.pts,"&gt;"&amp;INDEX(_xlfn.ANCHORARRAY($F$4),ROW()-ROW($E$4)+1,6)))</f>
        <v>16</v>
      </c>
      <c r="F20" t="str">
        <v>Matt De Freitas</v>
      </c>
      <c r="G20" s="1">
        <v>11</v>
      </c>
      <c r="H20" s="4">
        <v>1.1770833333333333E-2</v>
      </c>
      <c r="I20" s="1">
        <v>24</v>
      </c>
      <c r="J20" s="1">
        <v>5</v>
      </c>
      <c r="K20" s="1">
        <v>29</v>
      </c>
      <c r="M20" s="1" cm="1">
        <f t="array" ref="M20">_xlfn.LET(_xlpm.pts,INDEX(_xlfn.ANCHORARRAY($N$4),0,6),1+COUNTIF(_xlpm.pts,"&gt;"&amp;INDEX(_xlfn.ANCHORARRAY($N$4),ROW()-ROW($M$4)+1,6)))</f>
        <v>16</v>
      </c>
      <c r="N20" t="str">
        <v>Ellen Lockett</v>
      </c>
      <c r="O20" s="1">
        <v>23</v>
      </c>
      <c r="P20" s="4">
        <v>2.2951388888888886E-2</v>
      </c>
      <c r="Q20" s="1">
        <v>12</v>
      </c>
      <c r="R20" s="1">
        <v>15</v>
      </c>
      <c r="S20" s="1">
        <v>27</v>
      </c>
      <c r="U20" s="1" cm="1">
        <f t="array" ref="U20">_xlfn.LET(_xlpm.pts,INDEX(_xlfn.ANCHORARRAY($V$4),0,6),1+COUNTIF(_xlpm.pts,"&gt;"&amp;INDEX(_xlfn.ANCHORARRAY($V$4),ROW()-ROW($U$4)+1,6)))</f>
        <v>15</v>
      </c>
      <c r="V20" t="str">
        <v>Tom Kennett</v>
      </c>
      <c r="W20" s="1">
        <v>7</v>
      </c>
      <c r="X20" s="4">
        <v>1.7430555555555557E-2</v>
      </c>
      <c r="Y20" s="1">
        <v>28</v>
      </c>
      <c r="Z20" s="1">
        <v>0</v>
      </c>
      <c r="AA20" s="1">
        <v>28</v>
      </c>
      <c r="AC20" s="10" cm="1">
        <f t="array" ref="AC20">_xlfn.LET(_xlpm.pts,INDEX(_xlfn.ANCHORARRAY($AD$4),0,6),1+COUNTIF(_xlpm.pts,"&gt;"&amp;INDEX(_xlfn.ANCHORARRAY($AD$4),ROW()-ROW($AC$4)+1,6)))</f>
        <v>15</v>
      </c>
      <c r="AD20" t="str">
        <v>Tom Herbert</v>
      </c>
      <c r="AE20" s="1">
        <v>11</v>
      </c>
      <c r="AF20" s="4">
        <v>3.7175925925925925E-2</v>
      </c>
      <c r="AG20" s="1">
        <v>24</v>
      </c>
      <c r="AH20" s="1">
        <v>5</v>
      </c>
      <c r="AI20" s="1">
        <v>29</v>
      </c>
      <c r="AK20" s="1" cm="1">
        <f t="array" ref="AK20">_xlfn.LET(_xlpm.pts,INDEX(_xlfn.ANCHORARRAY($AL$4),0,6),1+COUNTIF(_xlpm.pts,"&gt;"&amp;INDEX(_xlfn.ANCHORARRAY($AL$4),ROW()-ROW($AK$4)+1,6)))</f>
        <v>16</v>
      </c>
      <c r="AL20" t="str">
        <v>David Goddard</v>
      </c>
      <c r="AM20" s="1">
        <v>22</v>
      </c>
      <c r="AN20" s="4">
        <v>4.2349537037037033E-2</v>
      </c>
      <c r="AO20" s="1">
        <v>13</v>
      </c>
      <c r="AP20" s="1">
        <v>15</v>
      </c>
      <c r="AQ20" s="1">
        <v>28</v>
      </c>
      <c r="AS20" s="1" cm="1">
        <f t="array" ref="AS20">_xlfn.LET(_xlpm.pts,INDEX(_xlfn.ANCHORARRAY($AT$4),0,6),1+COUNTIF(_xlpm.pts,"&gt;"&amp;INDEX(_xlfn.ANCHORARRAY($AT$4),ROW()-ROW($AU$4)+1,6)))</f>
        <v>15</v>
      </c>
      <c r="AT20" t="str">
        <v>Tom Herbert</v>
      </c>
      <c r="AU20" s="1">
        <v>10</v>
      </c>
      <c r="AV20" s="4">
        <v>2.5902777777777775E-2</v>
      </c>
      <c r="AW20" s="1">
        <v>25</v>
      </c>
      <c r="AX20" s="1">
        <v>5</v>
      </c>
      <c r="AY20" s="1">
        <v>30</v>
      </c>
    </row>
    <row r="21" spans="1:51" x14ac:dyDescent="0.2">
      <c r="A21" s="1" cm="1">
        <f t="array" ref="A21">_xlfn.LET(_xlpm.pts,INDEX(_xlfn.ANCHORARRAY($B$4),0,2),1+COUNTIF(_xlpm.pts,"&gt;"&amp;INDEX(_xlfn.ANCHORARRAY($B$4),ROW()-ROW($A$4)+1,2)))</f>
        <v>18</v>
      </c>
      <c r="B21" s="8" t="str">
        <v>Ellen Lockett</v>
      </c>
      <c r="C21" s="1">
        <v>162</v>
      </c>
      <c r="E21" s="1" cm="1">
        <f t="array" ref="E21">_xlfn.LET(_xlpm.pts,INDEX(_xlfn.ANCHORARRAY($F$4),0,6),1+COUNTIF(_xlpm.pts,"&gt;"&amp;INDEX(_xlfn.ANCHORARRAY($F$4),ROW()-ROW($E$4)+1,6)))</f>
        <v>18</v>
      </c>
      <c r="F21" t="str">
        <v>Richard Southcott</v>
      </c>
      <c r="G21" s="1">
        <v>23</v>
      </c>
      <c r="H21" s="4">
        <v>1.2372685185185186E-2</v>
      </c>
      <c r="I21" s="1">
        <v>12</v>
      </c>
      <c r="J21" s="1">
        <v>15</v>
      </c>
      <c r="K21" s="1">
        <v>27</v>
      </c>
      <c r="M21" s="1" cm="1">
        <f t="array" ref="M21">_xlfn.LET(_xlpm.pts,INDEX(_xlfn.ANCHORARRAY($N$4),0,6),1+COUNTIF(_xlpm.pts,"&gt;"&amp;INDEX(_xlfn.ANCHORARRAY($N$4),ROW()-ROW($M$4)+1,6)))</f>
        <v>16</v>
      </c>
      <c r="N21" t="str">
        <v>Matt De Freitas</v>
      </c>
      <c r="O21" s="1">
        <v>13</v>
      </c>
      <c r="P21" s="4">
        <v>2.164351851851852E-2</v>
      </c>
      <c r="Q21" s="1">
        <v>22</v>
      </c>
      <c r="R21" s="1">
        <v>5</v>
      </c>
      <c r="S21" s="1">
        <v>27</v>
      </c>
      <c r="U21" s="1" cm="1">
        <f t="array" ref="U21">_xlfn.LET(_xlpm.pts,INDEX(_xlfn.ANCHORARRAY($V$4),0,6),1+COUNTIF(_xlpm.pts,"&gt;"&amp;INDEX(_xlfn.ANCHORARRAY($V$4),ROW()-ROW($U$4)+1,6)))</f>
        <v>18</v>
      </c>
      <c r="V21" t="str">
        <v>David Wong</v>
      </c>
      <c r="W21" s="1">
        <v>19</v>
      </c>
      <c r="X21" s="4">
        <v>1.8622685185185183E-2</v>
      </c>
      <c r="Y21" s="1">
        <v>16</v>
      </c>
      <c r="Z21" s="1">
        <v>10</v>
      </c>
      <c r="AA21" s="1">
        <v>26</v>
      </c>
      <c r="AC21" s="10" cm="1">
        <f t="array" ref="AC21">_xlfn.LET(_xlpm.pts,INDEX(_xlfn.ANCHORARRAY($AD$4),0,6),1+COUNTIF(_xlpm.pts,"&gt;"&amp;INDEX(_xlfn.ANCHORARRAY($AD$4),ROW()-ROW($AC$4)+1,6)))</f>
        <v>18</v>
      </c>
      <c r="AD21" t="str">
        <v>David Wong</v>
      </c>
      <c r="AE21" s="1">
        <v>17</v>
      </c>
      <c r="AF21" s="4">
        <v>3.892361111111111E-2</v>
      </c>
      <c r="AG21" s="1">
        <v>18</v>
      </c>
      <c r="AH21" s="1">
        <v>10</v>
      </c>
      <c r="AI21" s="1">
        <v>28</v>
      </c>
      <c r="AK21" s="1" cm="1">
        <f t="array" ref="AK21">_xlfn.LET(_xlpm.pts,INDEX(_xlfn.ANCHORARRAY($AL$4),0,6),1+COUNTIF(_xlpm.pts,"&gt;"&amp;INDEX(_xlfn.ANCHORARRAY($AL$4),ROW()-ROW($AK$4)+1,6)))</f>
        <v>16</v>
      </c>
      <c r="AL21" t="str">
        <v>Neil Grunshaw</v>
      </c>
      <c r="AM21" s="1">
        <v>12</v>
      </c>
      <c r="AN21" s="4">
        <v>3.7326388888888888E-2</v>
      </c>
      <c r="AO21" s="1">
        <v>23</v>
      </c>
      <c r="AP21" s="1">
        <v>5</v>
      </c>
      <c r="AQ21" s="1">
        <v>28</v>
      </c>
      <c r="AS21" s="1" cm="1">
        <f t="array" ref="AS21">_xlfn.LET(_xlpm.pts,INDEX(_xlfn.ANCHORARRAY($AT$4),0,6),1+COUNTIF(_xlpm.pts,"&gt;"&amp;INDEX(_xlfn.ANCHORARRAY($AT$4),ROW()-ROW($AU$4)+1,6)))</f>
        <v>18</v>
      </c>
      <c r="AT21" t="str">
        <v>Neil Grunshaw</v>
      </c>
      <c r="AU21" s="1">
        <v>12</v>
      </c>
      <c r="AV21" s="4">
        <v>2.5937500000000002E-2</v>
      </c>
      <c r="AW21" s="1">
        <v>23</v>
      </c>
      <c r="AX21" s="1">
        <v>5</v>
      </c>
      <c r="AY21" s="1">
        <v>28</v>
      </c>
    </row>
    <row r="22" spans="1:51" x14ac:dyDescent="0.2">
      <c r="A22" s="1" cm="1">
        <f t="array" ref="A22">_xlfn.LET(_xlpm.pts,INDEX(_xlfn.ANCHORARRAY($B$4),0,2),1+COUNTIF(_xlpm.pts,"&gt;"&amp;INDEX(_xlfn.ANCHORARRAY($B$4),ROW()-ROW($A$4)+1,2)))</f>
        <v>19</v>
      </c>
      <c r="B22" s="8" t="str">
        <v>Barry Moulder</v>
      </c>
      <c r="C22" s="1">
        <v>154</v>
      </c>
      <c r="E22" s="1" cm="1">
        <f t="array" ref="E22">_xlfn.LET(_xlpm.pts,INDEX(_xlfn.ANCHORARRAY($F$4),0,6),1+COUNTIF(_xlpm.pts,"&gt;"&amp;INDEX(_xlfn.ANCHORARRAY($F$4),ROW()-ROW($E$4)+1,6)))</f>
        <v>18</v>
      </c>
      <c r="F22" t="str">
        <v>Tom Herbert</v>
      </c>
      <c r="G22" s="1">
        <v>13</v>
      </c>
      <c r="H22" s="4">
        <v>1.1840277777777778E-2</v>
      </c>
      <c r="I22" s="1">
        <v>22</v>
      </c>
      <c r="J22" s="1">
        <v>5</v>
      </c>
      <c r="K22" s="1">
        <v>27</v>
      </c>
      <c r="M22" s="1" cm="1">
        <f t="array" ref="M22">_xlfn.LET(_xlpm.pts,INDEX(_xlfn.ANCHORARRAY($N$4),0,6),1+COUNTIF(_xlpm.pts,"&gt;"&amp;INDEX(_xlfn.ANCHORARRAY($N$4),ROW()-ROW($M$4)+1,6)))</f>
        <v>19</v>
      </c>
      <c r="N22" t="str">
        <v>Tom Kennett</v>
      </c>
      <c r="O22" s="1">
        <v>9</v>
      </c>
      <c r="P22" s="4">
        <v>2.1226851851851854E-2</v>
      </c>
      <c r="Q22" s="1">
        <v>26</v>
      </c>
      <c r="R22" s="1">
        <v>0</v>
      </c>
      <c r="S22" s="1">
        <v>26</v>
      </c>
      <c r="U22" s="1" cm="1">
        <f t="array" ref="U22">_xlfn.LET(_xlpm.pts,INDEX(_xlfn.ANCHORARRAY($V$4),0,6),1+COUNTIF(_xlpm.pts,"&gt;"&amp;INDEX(_xlfn.ANCHORARRAY($V$4),ROW()-ROW($U$4)+1,6)))</f>
        <v>18</v>
      </c>
      <c r="V22" t="str">
        <v>Matt De Freitas</v>
      </c>
      <c r="W22" s="1">
        <v>14</v>
      </c>
      <c r="X22" s="4">
        <v>1.8159722222222219E-2</v>
      </c>
      <c r="Y22" s="1">
        <v>21</v>
      </c>
      <c r="Z22" s="1">
        <v>5</v>
      </c>
      <c r="AA22" s="1">
        <v>26</v>
      </c>
      <c r="AC22" s="10" cm="1">
        <f t="array" ref="AC22">_xlfn.LET(_xlpm.pts,INDEX(_xlfn.ANCHORARRAY($AD$4),0,6),1+COUNTIF(_xlpm.pts,"&gt;"&amp;INDEX(_xlfn.ANCHORARRAY($AD$4),ROW()-ROW($AC$4)+1,6)))</f>
        <v>18</v>
      </c>
      <c r="AD22" t="str">
        <v>Neal Beauchamp</v>
      </c>
      <c r="AE22" s="1">
        <v>12</v>
      </c>
      <c r="AF22" s="4">
        <v>3.7291666666666667E-2</v>
      </c>
      <c r="AG22" s="1">
        <v>23</v>
      </c>
      <c r="AH22" s="1">
        <v>5</v>
      </c>
      <c r="AI22" s="1">
        <v>28</v>
      </c>
      <c r="AK22" s="1" cm="1">
        <f t="array" ref="AK22">_xlfn.LET(_xlpm.pts,INDEX(_xlfn.ANCHORARRAY($AL$4),0,6),1+COUNTIF(_xlpm.pts,"&gt;"&amp;INDEX(_xlfn.ANCHORARRAY($AL$4),ROW()-ROW($AK$4)+1,6)))</f>
        <v>19</v>
      </c>
      <c r="AL22" t="str">
        <v>David Willis</v>
      </c>
      <c r="AM22" s="1">
        <v>18</v>
      </c>
      <c r="AN22" s="4">
        <v>3.8842592592592588E-2</v>
      </c>
      <c r="AO22" s="1">
        <v>17</v>
      </c>
      <c r="AP22" s="1">
        <v>10</v>
      </c>
      <c r="AQ22" s="1">
        <v>27</v>
      </c>
      <c r="AS22" s="1" cm="1">
        <f t="array" ref="AS22">_xlfn.LET(_xlpm.pts,INDEX(_xlfn.ANCHORARRAY($AT$4),0,6),1+COUNTIF(_xlpm.pts,"&gt;"&amp;INDEX(_xlfn.ANCHORARRAY($AT$4),ROW()-ROW($AU$4)+1,6)))</f>
        <v>19</v>
      </c>
      <c r="AT22" t="str">
        <v>Alice Lethbridge</v>
      </c>
      <c r="AU22" s="1">
        <v>16</v>
      </c>
      <c r="AV22" s="4">
        <v>2.6469907407407411E-2</v>
      </c>
      <c r="AW22" s="1">
        <v>19</v>
      </c>
      <c r="AX22" s="1">
        <v>5</v>
      </c>
      <c r="AY22" s="1">
        <v>24</v>
      </c>
    </row>
    <row r="23" spans="1:51" x14ac:dyDescent="0.2">
      <c r="A23" s="1" cm="1">
        <f t="array" ref="A23">_xlfn.LET(_xlpm.pts,INDEX(_xlfn.ANCHORARRAY($B$4),0,2),1+COUNTIF(_xlpm.pts,"&gt;"&amp;INDEX(_xlfn.ANCHORARRAY($B$4),ROW()-ROW($A$4)+1,2)))</f>
        <v>20</v>
      </c>
      <c r="B23" s="8" t="str">
        <v>Alan Grant</v>
      </c>
      <c r="C23" s="1">
        <v>152</v>
      </c>
      <c r="E23" s="1" cm="1">
        <f t="array" ref="E23">_xlfn.LET(_xlpm.pts,INDEX(_xlfn.ANCHORARRAY($F$4),0,6),1+COUNTIF(_xlpm.pts,"&gt;"&amp;INDEX(_xlfn.ANCHORARRAY($F$4),ROW()-ROW($E$4)+1,6)))</f>
        <v>20</v>
      </c>
      <c r="F23" t="str">
        <v>David Wong</v>
      </c>
      <c r="G23" s="1">
        <v>20</v>
      </c>
      <c r="H23" s="4">
        <v>1.2199074074074072E-2</v>
      </c>
      <c r="I23" s="1">
        <v>15</v>
      </c>
      <c r="J23" s="1">
        <v>10</v>
      </c>
      <c r="K23" s="1">
        <v>25</v>
      </c>
      <c r="M23" s="1" cm="1">
        <f t="array" ref="M23">_xlfn.LET(_xlpm.pts,INDEX(_xlfn.ANCHORARRAY($N$4),0,6),1+COUNTIF(_xlpm.pts,"&gt;"&amp;INDEX(_xlfn.ANCHORARRAY($N$4),ROW()-ROW($M$4)+1,6)))</f>
        <v>20</v>
      </c>
      <c r="N23" t="str">
        <v>David Willis</v>
      </c>
      <c r="O23" s="1">
        <v>20</v>
      </c>
      <c r="P23" s="4">
        <v>2.2465277777777778E-2</v>
      </c>
      <c r="Q23" s="1">
        <v>15</v>
      </c>
      <c r="R23" s="1">
        <v>10</v>
      </c>
      <c r="S23" s="1">
        <v>25</v>
      </c>
      <c r="U23" s="1" cm="1">
        <f t="array" ref="U23">_xlfn.LET(_xlpm.pts,INDEX(_xlfn.ANCHORARRAY($V$4),0,6),1+COUNTIF(_xlpm.pts,"&gt;"&amp;INDEX(_xlfn.ANCHORARRAY($V$4),ROW()-ROW($U$4)+1,6)))</f>
        <v>20</v>
      </c>
      <c r="V23" t="str">
        <v>Paul Davey</v>
      </c>
      <c r="W23" s="1">
        <v>25</v>
      </c>
      <c r="X23" s="4">
        <v>1.9178240740740742E-2</v>
      </c>
      <c r="Y23" s="1">
        <v>10</v>
      </c>
      <c r="Z23" s="1">
        <v>15</v>
      </c>
      <c r="AA23" s="1">
        <v>25</v>
      </c>
      <c r="AC23" s="10" cm="1">
        <f t="array" ref="AC23">_xlfn.LET(_xlpm.pts,INDEX(_xlfn.ANCHORARRAY($AD$4),0,6),1+COUNTIF(_xlpm.pts,"&gt;"&amp;INDEX(_xlfn.ANCHORARRAY($AD$4),ROW()-ROW($AC$4)+1,6)))</f>
        <v>18</v>
      </c>
      <c r="AD23" t="str">
        <v>Paul Davey</v>
      </c>
      <c r="AE23" s="1">
        <v>22</v>
      </c>
      <c r="AF23" s="4">
        <v>4.2546296296296297E-2</v>
      </c>
      <c r="AG23" s="1">
        <v>13</v>
      </c>
      <c r="AH23" s="1">
        <v>15</v>
      </c>
      <c r="AI23" s="1">
        <v>28</v>
      </c>
      <c r="AK23" s="1" cm="1">
        <f t="array" ref="AK23">_xlfn.LET(_xlpm.pts,INDEX(_xlfn.ANCHORARRAY($AL$4),0,6),1+COUNTIF(_xlpm.pts,"&gt;"&amp;INDEX(_xlfn.ANCHORARRAY($AL$4),ROW()-ROW($AK$4)+1,6)))</f>
        <v>19</v>
      </c>
      <c r="AL23" t="str">
        <v>Harry Bunnell</v>
      </c>
      <c r="AM23" s="1">
        <v>23</v>
      </c>
      <c r="AN23" s="4">
        <v>4.3761574074074078E-2</v>
      </c>
      <c r="AO23" s="1">
        <v>12</v>
      </c>
      <c r="AP23" s="1">
        <v>15</v>
      </c>
      <c r="AQ23" s="1">
        <v>27</v>
      </c>
      <c r="AS23" s="1" cm="1">
        <f t="array" ref="AS23">_xlfn.LET(_xlpm.pts,INDEX(_xlfn.ANCHORARRAY($AT$4),0,6),1+COUNTIF(_xlpm.pts,"&gt;"&amp;INDEX(_xlfn.ANCHORARRAY($AT$4),ROW()-ROW($AU$4)+1,6)))</f>
        <v>19</v>
      </c>
      <c r="AT23" t="str">
        <v>Barry Moulder</v>
      </c>
      <c r="AU23" s="1">
        <v>21</v>
      </c>
      <c r="AV23" s="4">
        <v>2.7627314814814813E-2</v>
      </c>
      <c r="AW23" s="1">
        <v>14</v>
      </c>
      <c r="AX23" s="1">
        <v>10</v>
      </c>
      <c r="AY23" s="1">
        <v>24</v>
      </c>
    </row>
    <row r="24" spans="1:51" x14ac:dyDescent="0.2">
      <c r="A24" s="1" cm="1">
        <f t="array" ref="A24">_xlfn.LET(_xlpm.pts,INDEX(_xlfn.ANCHORARRAY($B$4),0,2),1+COUNTIF(_xlpm.pts,"&gt;"&amp;INDEX(_xlfn.ANCHORARRAY($B$4),ROW()-ROW($A$4)+1,2)))</f>
        <v>21</v>
      </c>
      <c r="B24" s="8" t="str">
        <v>David Willis</v>
      </c>
      <c r="C24" s="1">
        <v>147</v>
      </c>
      <c r="E24" s="1" cm="1">
        <f t="array" ref="E24">_xlfn.LET(_xlpm.pts,INDEX(_xlfn.ANCHORARRAY($F$4),0,6),1+COUNTIF(_xlpm.pts,"&gt;"&amp;INDEX(_xlfn.ANCHORARRAY($F$4),ROW()-ROW($E$4)+1,6)))</f>
        <v>21</v>
      </c>
      <c r="F24" t="str">
        <v>Andy Whiteside</v>
      </c>
      <c r="G24" s="1">
        <v>26</v>
      </c>
      <c r="H24" s="4">
        <v>1.2546296296296297E-2</v>
      </c>
      <c r="I24" s="1">
        <v>9</v>
      </c>
      <c r="J24" s="1">
        <v>15</v>
      </c>
      <c r="K24" s="1">
        <v>24</v>
      </c>
      <c r="M24" s="1" cm="1">
        <f t="array" ref="M24">_xlfn.LET(_xlpm.pts,INDEX(_xlfn.ANCHORARRAY($N$4),0,6),1+COUNTIF(_xlpm.pts,"&gt;"&amp;INDEX(_xlfn.ANCHORARRAY($N$4),ROW()-ROW($M$4)+1,6)))</f>
        <v>20</v>
      </c>
      <c r="N24" t="str">
        <v>David Wong</v>
      </c>
      <c r="O24" s="1">
        <v>20</v>
      </c>
      <c r="P24" s="4">
        <v>2.2465277777777778E-2</v>
      </c>
      <c r="Q24" s="1">
        <v>15</v>
      </c>
      <c r="R24" s="1">
        <v>10</v>
      </c>
      <c r="S24" s="1">
        <v>25</v>
      </c>
      <c r="U24" s="1" cm="1">
        <f t="array" ref="U24">_xlfn.LET(_xlpm.pts,INDEX(_xlfn.ANCHORARRAY($V$4),0,6),1+COUNTIF(_xlpm.pts,"&gt;"&amp;INDEX(_xlfn.ANCHORARRAY($V$4),ROW()-ROW($U$4)+1,6)))</f>
        <v>21</v>
      </c>
      <c r="V24" t="str">
        <v>Richard Turner</v>
      </c>
      <c r="W24" s="1">
        <v>26</v>
      </c>
      <c r="X24" s="4">
        <v>1.9398148148148147E-2</v>
      </c>
      <c r="Y24" s="1">
        <v>9</v>
      </c>
      <c r="Z24" s="1">
        <v>15</v>
      </c>
      <c r="AA24" s="1">
        <v>24</v>
      </c>
      <c r="AC24" s="10" cm="1">
        <f t="array" ref="AC24">_xlfn.LET(_xlpm.pts,INDEX(_xlfn.ANCHORARRAY($AD$4),0,6),1+COUNTIF(_xlpm.pts,"&gt;"&amp;INDEX(_xlfn.ANCHORARRAY($AD$4),ROW()-ROW($AC$4)+1,6)))</f>
        <v>21</v>
      </c>
      <c r="AD24" t="str">
        <v>David Goddard</v>
      </c>
      <c r="AE24" s="1">
        <v>23</v>
      </c>
      <c r="AF24" s="4">
        <v>4.2858796296296298E-2</v>
      </c>
      <c r="AG24" s="1">
        <v>12</v>
      </c>
      <c r="AH24" s="1">
        <v>15</v>
      </c>
      <c r="AI24" s="1">
        <v>27</v>
      </c>
      <c r="AK24" s="1" cm="1">
        <f t="array" ref="AK24">_xlfn.LET(_xlpm.pts,INDEX(_xlfn.ANCHORARRAY($AL$4),0,6),1+COUNTIF(_xlpm.pts,"&gt;"&amp;INDEX(_xlfn.ANCHORARRAY($AL$4),ROW()-ROW($AK$4)+1,6)))</f>
        <v>19</v>
      </c>
      <c r="AL24" t="str">
        <v>Tom Herbert</v>
      </c>
      <c r="AM24" s="1">
        <v>13</v>
      </c>
      <c r="AN24" s="4">
        <v>3.7615740740740741E-2</v>
      </c>
      <c r="AO24" s="1">
        <v>22</v>
      </c>
      <c r="AP24" s="1">
        <v>5</v>
      </c>
      <c r="AQ24" s="1">
        <v>27</v>
      </c>
      <c r="AS24" s="1" cm="1">
        <f t="array" ref="AS24">_xlfn.LET(_xlpm.pts,INDEX(_xlfn.ANCHORARRAY($AT$4),0,6),1+COUNTIF(_xlpm.pts,"&gt;"&amp;INDEX(_xlfn.ANCHORARRAY($AT$4),ROW()-ROW($AU$4)+1,6)))</f>
        <v>21</v>
      </c>
      <c r="AT24" t="str">
        <v>Chris Jenkins</v>
      </c>
      <c r="AU24" s="1">
        <v>19</v>
      </c>
      <c r="AV24" s="4">
        <v>2.7210648148148147E-2</v>
      </c>
      <c r="AW24" s="1">
        <v>16</v>
      </c>
      <c r="AX24" s="1">
        <v>5</v>
      </c>
      <c r="AY24" s="1">
        <v>21</v>
      </c>
    </row>
    <row r="25" spans="1:51" x14ac:dyDescent="0.2">
      <c r="A25" s="1" cm="1">
        <f t="array" ref="A25">_xlfn.LET(_xlpm.pts,INDEX(_xlfn.ANCHORARRAY($B$4),0,2),1+COUNTIF(_xlpm.pts,"&gt;"&amp;INDEX(_xlfn.ANCHORARRAY($B$4),ROW()-ROW($A$4)+1,2)))</f>
        <v>22</v>
      </c>
      <c r="B25" s="8" t="str">
        <v>Conor Walsh</v>
      </c>
      <c r="C25" s="1">
        <v>146</v>
      </c>
      <c r="E25" s="1" cm="1">
        <f t="array" ref="E25">_xlfn.LET(_xlpm.pts,INDEX(_xlfn.ANCHORARRAY($F$4),0,6),1+COUNTIF(_xlpm.pts,"&gt;"&amp;INDEX(_xlfn.ANCHORARRAY($F$4),ROW()-ROW($E$4)+1,6)))</f>
        <v>22</v>
      </c>
      <c r="F25" t="str">
        <v>Barry Moulder</v>
      </c>
      <c r="G25" s="1">
        <v>22</v>
      </c>
      <c r="H25" s="4">
        <v>1.2314814814814815E-2</v>
      </c>
      <c r="I25" s="1">
        <v>13</v>
      </c>
      <c r="J25" s="1">
        <v>10</v>
      </c>
      <c r="K25" s="1">
        <v>23</v>
      </c>
      <c r="M25" s="1" cm="1">
        <f t="array" ref="M25">_xlfn.LET(_xlpm.pts,INDEX(_xlfn.ANCHORARRAY($N$4),0,6),1+COUNTIF(_xlpm.pts,"&gt;"&amp;INDEX(_xlfn.ANCHORARRAY($N$4),ROW()-ROW($M$4)+1,6)))</f>
        <v>20</v>
      </c>
      <c r="N25" t="str">
        <v>Harry Bunnell</v>
      </c>
      <c r="O25" s="1">
        <v>25</v>
      </c>
      <c r="P25" s="4">
        <v>2.2997685185185187E-2</v>
      </c>
      <c r="Q25" s="1">
        <v>10</v>
      </c>
      <c r="R25" s="1">
        <v>15</v>
      </c>
      <c r="S25" s="1">
        <v>25</v>
      </c>
      <c r="U25" s="1" cm="1">
        <f t="array" ref="U25">_xlfn.LET(_xlpm.pts,INDEX(_xlfn.ANCHORARRAY($V$4),0,6),1+COUNTIF(_xlpm.pts,"&gt;"&amp;INDEX(_xlfn.ANCHORARRAY($V$4),ROW()-ROW($U$4)+1,6)))</f>
        <v>22</v>
      </c>
      <c r="V25" t="str">
        <v>David Willis</v>
      </c>
      <c r="W25" s="1">
        <v>22</v>
      </c>
      <c r="X25" s="4">
        <v>1.8796296296296297E-2</v>
      </c>
      <c r="Y25" s="1">
        <v>13</v>
      </c>
      <c r="Z25" s="1">
        <v>10</v>
      </c>
      <c r="AA25" s="1">
        <v>23</v>
      </c>
      <c r="AC25" s="10" cm="1">
        <f t="array" ref="AC25">_xlfn.LET(_xlpm.pts,INDEX(_xlfn.ANCHORARRAY($AD$4),0,6),1+COUNTIF(_xlpm.pts,"&gt;"&amp;INDEX(_xlfn.ANCHORARRAY($AD$4),ROW()-ROW($AC$4)+1,6)))</f>
        <v>22</v>
      </c>
      <c r="AD25" t="str">
        <v>Alan Grant</v>
      </c>
      <c r="AE25" s="1">
        <v>19</v>
      </c>
      <c r="AF25" s="4">
        <v>4.1250000000000002E-2</v>
      </c>
      <c r="AG25" s="1">
        <v>16</v>
      </c>
      <c r="AH25" s="1">
        <v>10</v>
      </c>
      <c r="AI25" s="1">
        <v>26</v>
      </c>
      <c r="AK25" s="1" cm="1">
        <f t="array" ref="AK25">_xlfn.LET(_xlpm.pts,INDEX(_xlfn.ANCHORARRAY($AL$4),0,6),1+COUNTIF(_xlpm.pts,"&gt;"&amp;INDEX(_xlfn.ANCHORARRAY($AL$4),ROW()-ROW($AK$4)+1,6)))</f>
        <v>22</v>
      </c>
      <c r="AL25" t="str">
        <v>Alan Grant</v>
      </c>
      <c r="AM25" s="1">
        <v>20</v>
      </c>
      <c r="AN25" s="4">
        <v>3.9976851851851854E-2</v>
      </c>
      <c r="AO25" s="1">
        <v>15</v>
      </c>
      <c r="AP25" s="1">
        <v>10</v>
      </c>
      <c r="AQ25" s="1">
        <v>25</v>
      </c>
      <c r="AS25" s="1" cm="1">
        <f t="array" ref="AS25">_xlfn.LET(_xlpm.pts,INDEX(_xlfn.ANCHORARRAY($AT$4),0,6),1+COUNTIF(_xlpm.pts,"&gt;"&amp;INDEX(_xlfn.ANCHORARRAY($AT$4),ROW()-ROW($AU$4)+1,6)))</f>
        <v>22</v>
      </c>
      <c r="AT25" t="str">
        <v>Andy Whiteside</v>
      </c>
      <c r="AU25" s="1">
        <v>0</v>
      </c>
      <c r="AV25" s="4">
        <v>0</v>
      </c>
      <c r="AW25" s="1">
        <v>0</v>
      </c>
      <c r="AX25" s="1">
        <v>15</v>
      </c>
      <c r="AY25" s="1">
        <v>15</v>
      </c>
    </row>
    <row r="26" spans="1:51" x14ac:dyDescent="0.2">
      <c r="A26" s="1" cm="1">
        <f t="array" ref="A26">_xlfn.LET(_xlpm.pts,INDEX(_xlfn.ANCHORARRAY($B$4),0,2),1+COUNTIF(_xlpm.pts,"&gt;"&amp;INDEX(_xlfn.ANCHORARRAY($B$4),ROW()-ROW($A$4)+1,2)))</f>
        <v>23</v>
      </c>
      <c r="B26" s="8" t="str">
        <v>Richard Turner</v>
      </c>
      <c r="C26" s="1">
        <v>136</v>
      </c>
      <c r="E26" s="1" cm="1">
        <f t="array" ref="E26">_xlfn.LET(_xlpm.pts,INDEX(_xlfn.ANCHORARRAY($F$4),0,6),1+COUNTIF(_xlpm.pts,"&gt;"&amp;INDEX(_xlfn.ANCHORARRAY($F$4),ROW()-ROW($E$4)+1,6)))</f>
        <v>22</v>
      </c>
      <c r="F26" t="str">
        <v>Chris Jenkins</v>
      </c>
      <c r="G26" s="1">
        <v>17</v>
      </c>
      <c r="H26" s="4">
        <v>1.2013888888888888E-2</v>
      </c>
      <c r="I26" s="1">
        <v>18</v>
      </c>
      <c r="J26" s="1">
        <v>5</v>
      </c>
      <c r="K26" s="1">
        <v>23</v>
      </c>
      <c r="M26" s="1" cm="1">
        <f t="array" ref="M26">_xlfn.LET(_xlpm.pts,INDEX(_xlfn.ANCHORARRAY($N$4),0,6),1+COUNTIF(_xlpm.pts,"&gt;"&amp;INDEX(_xlfn.ANCHORARRAY($N$4),ROW()-ROW($M$4)+1,6)))</f>
        <v>23</v>
      </c>
      <c r="N26" t="str">
        <v>Neil Grunshaw</v>
      </c>
      <c r="O26" s="1">
        <v>16</v>
      </c>
      <c r="P26" s="4">
        <v>2.1817129629629631E-2</v>
      </c>
      <c r="Q26" s="1">
        <v>19</v>
      </c>
      <c r="R26" s="1">
        <v>5</v>
      </c>
      <c r="S26" s="1">
        <v>24</v>
      </c>
      <c r="U26" s="1" cm="1">
        <f t="array" ref="U26">_xlfn.LET(_xlpm.pts,INDEX(_xlfn.ANCHORARRAY($V$4),0,6),1+COUNTIF(_xlpm.pts,"&gt;"&amp;INDEX(_xlfn.ANCHORARRAY($V$4),ROW()-ROW($U$4)+1,6)))</f>
        <v>22</v>
      </c>
      <c r="V26" t="str">
        <v>Harry Bunnell</v>
      </c>
      <c r="W26" s="1">
        <v>27</v>
      </c>
      <c r="X26" s="4">
        <v>2.0057870370370368E-2</v>
      </c>
      <c r="Y26" s="1">
        <v>8</v>
      </c>
      <c r="Z26" s="1">
        <v>15</v>
      </c>
      <c r="AA26" s="1">
        <v>23</v>
      </c>
      <c r="AC26" s="10" cm="1">
        <f t="array" ref="AC26">_xlfn.LET(_xlpm.pts,INDEX(_xlfn.ANCHORARRAY($AD$4),0,6),1+COUNTIF(_xlpm.pts,"&gt;"&amp;INDEX(_xlfn.ANCHORARRAY($AD$4),ROW()-ROW($AC$4)+1,6)))</f>
        <v>23</v>
      </c>
      <c r="AD26" t="str">
        <v>Nick Davis</v>
      </c>
      <c r="AE26" s="1">
        <v>20</v>
      </c>
      <c r="AF26" s="4">
        <v>4.1805555555555561E-2</v>
      </c>
      <c r="AG26" s="1">
        <v>15</v>
      </c>
      <c r="AH26" s="1">
        <v>5</v>
      </c>
      <c r="AI26" s="1">
        <v>20</v>
      </c>
      <c r="AK26" s="1" cm="1">
        <f t="array" ref="AK26">_xlfn.LET(_xlpm.pts,INDEX(_xlfn.ANCHORARRAY($AL$4),0,6),1+COUNTIF(_xlpm.pts,"&gt;"&amp;INDEX(_xlfn.ANCHORARRAY($AL$4),ROW()-ROW($AK$4)+1,6)))</f>
        <v>22</v>
      </c>
      <c r="AL26" t="str">
        <v>Conor Walsh</v>
      </c>
      <c r="AM26" s="1">
        <v>10</v>
      </c>
      <c r="AN26" s="4">
        <v>3.6562499999999998E-2</v>
      </c>
      <c r="AO26" s="1">
        <v>25</v>
      </c>
      <c r="AP26" s="1">
        <v>0</v>
      </c>
      <c r="AQ26" s="1">
        <v>25</v>
      </c>
      <c r="AS26" s="1" cm="1">
        <f t="array" ref="AS26">_xlfn.LET(_xlpm.pts,INDEX(_xlfn.ANCHORARRAY($AT$4),0,6),1+COUNTIF(_xlpm.pts,"&gt;"&amp;INDEX(_xlfn.ANCHORARRAY($AT$4),ROW()-ROW($AU$4)+1,6)))</f>
        <v>22</v>
      </c>
      <c r="AT26" t="str">
        <v>Grant Campbell</v>
      </c>
      <c r="AU26" s="1">
        <v>0</v>
      </c>
      <c r="AV26" s="4">
        <v>0</v>
      </c>
      <c r="AW26" s="1">
        <v>0</v>
      </c>
      <c r="AX26" s="1">
        <v>15</v>
      </c>
      <c r="AY26" s="1">
        <v>15</v>
      </c>
    </row>
    <row r="27" spans="1:51" x14ac:dyDescent="0.2">
      <c r="A27" s="1" cm="1">
        <f t="array" ref="A27">_xlfn.LET(_xlpm.pts,INDEX(_xlfn.ANCHORARRAY($B$4),0,2),1+COUNTIF(_xlpm.pts,"&gt;"&amp;INDEX(_xlfn.ANCHORARRAY($B$4),ROW()-ROW($A$4)+1,2)))</f>
        <v>24</v>
      </c>
      <c r="B27" s="8" t="str">
        <v>Harry Bunnell</v>
      </c>
      <c r="C27" s="1">
        <v>127</v>
      </c>
      <c r="E27" s="1" cm="1">
        <f t="array" ref="E27">_xlfn.LET(_xlpm.pts,INDEX(_xlfn.ANCHORARRAY($F$4),0,6),1+COUNTIF(_xlpm.pts,"&gt;"&amp;INDEX(_xlfn.ANCHORARRAY($F$4),ROW()-ROW($E$4)+1,6)))</f>
        <v>22</v>
      </c>
      <c r="F27" t="str">
        <v>Paul Davey</v>
      </c>
      <c r="G27" s="1">
        <v>27</v>
      </c>
      <c r="H27" s="4">
        <v>1.2604166666666666E-2</v>
      </c>
      <c r="I27" s="1">
        <v>8</v>
      </c>
      <c r="J27" s="1">
        <v>15</v>
      </c>
      <c r="K27" s="1">
        <v>23</v>
      </c>
      <c r="M27" s="1" cm="1">
        <f t="array" ref="M27">_xlfn.LET(_xlpm.pts,INDEX(_xlfn.ANCHORARRAY($N$4),0,6),1+COUNTIF(_xlpm.pts,"&gt;"&amp;INDEX(_xlfn.ANCHORARRAY($N$4),ROW()-ROW($M$4)+1,6)))</f>
        <v>24</v>
      </c>
      <c r="N27" t="str">
        <v>Barry Moulder</v>
      </c>
      <c r="O27" s="1">
        <v>24</v>
      </c>
      <c r="P27" s="4">
        <v>2.297453703703704E-2</v>
      </c>
      <c r="Q27" s="1">
        <v>11</v>
      </c>
      <c r="R27" s="1">
        <v>10</v>
      </c>
      <c r="S27" s="1">
        <v>21</v>
      </c>
      <c r="U27" s="1" cm="1">
        <f t="array" ref="U27">_xlfn.LET(_xlpm.pts,INDEX(_xlfn.ANCHORARRAY($V$4),0,6),1+COUNTIF(_xlpm.pts,"&gt;"&amp;INDEX(_xlfn.ANCHORARRAY($V$4),ROW()-ROW($U$4)+1,6)))</f>
        <v>24</v>
      </c>
      <c r="V27" t="str">
        <v>Alan Grant</v>
      </c>
      <c r="W27" s="1">
        <v>23</v>
      </c>
      <c r="X27" s="4">
        <v>1.8865740740740742E-2</v>
      </c>
      <c r="Y27" s="1">
        <v>12</v>
      </c>
      <c r="Z27" s="1">
        <v>10</v>
      </c>
      <c r="AA27" s="1">
        <v>22</v>
      </c>
      <c r="AC27" s="10" cm="1">
        <f t="array" ref="AC27">_xlfn.LET(_xlpm.pts,INDEX(_xlfn.ANCHORARRAY($AD$4),0,6),1+COUNTIF(_xlpm.pts,"&gt;"&amp;INDEX(_xlfn.ANCHORARRAY($AD$4),ROW()-ROW($AC$4)+1,6)))</f>
        <v>24</v>
      </c>
      <c r="AD27" t="str">
        <v>Andy Whiteside</v>
      </c>
      <c r="AE27" s="1">
        <v>0</v>
      </c>
      <c r="AF27" s="4">
        <v>0</v>
      </c>
      <c r="AG27" s="1">
        <v>0</v>
      </c>
      <c r="AH27" s="1">
        <v>15</v>
      </c>
      <c r="AI27" s="1">
        <v>15</v>
      </c>
      <c r="AK27" s="1" cm="1">
        <f t="array" ref="AK27">_xlfn.LET(_xlpm.pts,INDEX(_xlfn.ANCHORARRAY($AL$4),0,6),1+COUNTIF(_xlpm.pts,"&gt;"&amp;INDEX(_xlfn.ANCHORARRAY($AL$4),ROW()-ROW($AK$4)+1,6)))</f>
        <v>24</v>
      </c>
      <c r="AL27" t="str">
        <v>Andy Whiteside</v>
      </c>
      <c r="AM27" s="1">
        <v>0</v>
      </c>
      <c r="AN27" s="4">
        <v>0</v>
      </c>
      <c r="AO27" s="1">
        <v>0</v>
      </c>
      <c r="AP27" s="1">
        <v>15</v>
      </c>
      <c r="AQ27" s="1">
        <v>15</v>
      </c>
      <c r="AS27" s="1" cm="1">
        <f t="array" ref="AS27">_xlfn.LET(_xlpm.pts,INDEX(_xlfn.ANCHORARRAY($AT$4),0,6),1+COUNTIF(_xlpm.pts,"&gt;"&amp;INDEX(_xlfn.ANCHORARRAY($AT$4),ROW()-ROW($AU$4)+1,6)))</f>
        <v>22</v>
      </c>
      <c r="AT27" t="str">
        <v>Harry Bunnell</v>
      </c>
      <c r="AU27" s="1">
        <v>0</v>
      </c>
      <c r="AV27" s="4">
        <v>0</v>
      </c>
      <c r="AW27" s="1">
        <v>0</v>
      </c>
      <c r="AX27" s="1">
        <v>15</v>
      </c>
      <c r="AY27" s="1">
        <v>15</v>
      </c>
    </row>
    <row r="28" spans="1:51" x14ac:dyDescent="0.2">
      <c r="A28" s="1" cm="1">
        <f t="array" ref="A28">_xlfn.LET(_xlpm.pts,INDEX(_xlfn.ANCHORARRAY($B$4),0,2),1+COUNTIF(_xlpm.pts,"&gt;"&amp;INDEX(_xlfn.ANCHORARRAY($B$4),ROW()-ROW($A$4)+1,2)))</f>
        <v>25</v>
      </c>
      <c r="B28" s="8" t="str">
        <v>Richard Southcott</v>
      </c>
      <c r="C28" s="1">
        <v>102</v>
      </c>
      <c r="E28" s="1" cm="1">
        <f t="array" ref="E28">_xlfn.LET(_xlpm.pts,INDEX(_xlfn.ANCHORARRAY($F$4),0,6),1+COUNTIF(_xlpm.pts,"&gt;"&amp;INDEX(_xlfn.ANCHORARRAY($F$4),ROW()-ROW($E$4)+1,6)))</f>
        <v>25</v>
      </c>
      <c r="F28" t="str">
        <v>Harry Bunnell</v>
      </c>
      <c r="G28" s="1">
        <v>28</v>
      </c>
      <c r="H28" s="4">
        <v>1.3020833333333334E-2</v>
      </c>
      <c r="I28" s="1">
        <v>7</v>
      </c>
      <c r="J28" s="1">
        <v>15</v>
      </c>
      <c r="K28" s="1">
        <v>22</v>
      </c>
      <c r="M28" s="1" cm="1">
        <f t="array" ref="M28">_xlfn.LET(_xlpm.pts,INDEX(_xlfn.ANCHORARRAY($N$4),0,6),1+COUNTIF(_xlpm.pts,"&gt;"&amp;INDEX(_xlfn.ANCHORARRAY($N$4),ROW()-ROW($M$4)+1,6)))</f>
        <v>25</v>
      </c>
      <c r="N28" t="str">
        <v>Conor Walsh</v>
      </c>
      <c r="O28" s="1">
        <v>17</v>
      </c>
      <c r="P28" s="4">
        <v>2.2129629629629628E-2</v>
      </c>
      <c r="Q28" s="1">
        <v>18</v>
      </c>
      <c r="R28" s="1">
        <v>0</v>
      </c>
      <c r="S28" s="1">
        <v>18</v>
      </c>
      <c r="U28" s="1" cm="1">
        <f t="array" ref="U28">_xlfn.LET(_xlpm.pts,INDEX(_xlfn.ANCHORARRAY($V$4),0,6),1+COUNTIF(_xlpm.pts,"&gt;"&amp;INDEX(_xlfn.ANCHORARRAY($V$4),ROW()-ROW($U$4)+1,6)))</f>
        <v>25</v>
      </c>
      <c r="V28" t="str">
        <v>Olly Wright</v>
      </c>
      <c r="W28" s="1">
        <v>24</v>
      </c>
      <c r="X28" s="4">
        <v>1.8958333333333334E-2</v>
      </c>
      <c r="Y28" s="1">
        <v>11</v>
      </c>
      <c r="Z28" s="1">
        <v>10</v>
      </c>
      <c r="AA28" s="1">
        <v>21</v>
      </c>
      <c r="AC28" s="10" cm="1">
        <f t="array" ref="AC28">_xlfn.LET(_xlpm.pts,INDEX(_xlfn.ANCHORARRAY($AD$4),0,6),1+COUNTIF(_xlpm.pts,"&gt;"&amp;INDEX(_xlfn.ANCHORARRAY($AD$4),ROW()-ROW($AC$4)+1,6)))</f>
        <v>24</v>
      </c>
      <c r="AD28" t="str">
        <v>Grant Campbell</v>
      </c>
      <c r="AE28" s="1">
        <v>0</v>
      </c>
      <c r="AF28" s="4">
        <v>0</v>
      </c>
      <c r="AG28" s="1">
        <v>0</v>
      </c>
      <c r="AH28" s="1">
        <v>15</v>
      </c>
      <c r="AI28" s="1">
        <v>15</v>
      </c>
      <c r="AK28" s="1" cm="1">
        <f t="array" ref="AK28">_xlfn.LET(_xlpm.pts,INDEX(_xlfn.ANCHORARRAY($AL$4),0,6),1+COUNTIF(_xlpm.pts,"&gt;"&amp;INDEX(_xlfn.ANCHORARRAY($AL$4),ROW()-ROW($AK$4)+1,6)))</f>
        <v>24</v>
      </c>
      <c r="AL28" t="str">
        <v>Grant Campbell</v>
      </c>
      <c r="AM28" s="1">
        <v>0</v>
      </c>
      <c r="AN28" s="4">
        <v>0</v>
      </c>
      <c r="AO28" s="1">
        <v>0</v>
      </c>
      <c r="AP28" s="1">
        <v>15</v>
      </c>
      <c r="AQ28" s="1">
        <v>15</v>
      </c>
      <c r="AS28" s="1" cm="1">
        <f t="array" ref="AS28">_xlfn.LET(_xlpm.pts,INDEX(_xlfn.ANCHORARRAY($AT$4),0,6),1+COUNTIF(_xlpm.pts,"&gt;"&amp;INDEX(_xlfn.ANCHORARRAY($AT$4),ROW()-ROW($AU$4)+1,6)))</f>
        <v>22</v>
      </c>
      <c r="AT28" t="str">
        <v>Richard Southcott</v>
      </c>
      <c r="AU28" s="1">
        <v>0</v>
      </c>
      <c r="AV28" s="4">
        <v>0</v>
      </c>
      <c r="AW28" s="1">
        <v>0</v>
      </c>
      <c r="AX28" s="1">
        <v>15</v>
      </c>
      <c r="AY28" s="1">
        <v>15</v>
      </c>
    </row>
    <row r="29" spans="1:51" x14ac:dyDescent="0.2">
      <c r="A29" s="1" cm="1">
        <f t="array" ref="A29">_xlfn.LET(_xlpm.pts,INDEX(_xlfn.ANCHORARRAY($B$4),0,2),1+COUNTIF(_xlpm.pts,"&gt;"&amp;INDEX(_xlfn.ANCHORARRAY($B$4),ROW()-ROW($A$4)+1,2)))</f>
        <v>26</v>
      </c>
      <c r="B29" s="8" t="str">
        <v>Andy Whiteside</v>
      </c>
      <c r="C29" s="1">
        <v>99</v>
      </c>
      <c r="E29" s="1" cm="1">
        <f t="array" ref="E29">_xlfn.LET(_xlpm.pts,INDEX(_xlfn.ANCHORARRAY($F$4),0,6),1+COUNTIF(_xlpm.pts,"&gt;"&amp;INDEX(_xlfn.ANCHORARRAY($F$4),ROW()-ROW($E$4)+1,6)))</f>
        <v>26</v>
      </c>
      <c r="F29" t="str">
        <v>Conor Walsh</v>
      </c>
      <c r="G29" s="1">
        <v>14</v>
      </c>
      <c r="H29" s="4">
        <v>1.1944444444444445E-2</v>
      </c>
      <c r="I29" s="1">
        <v>21</v>
      </c>
      <c r="J29" s="1">
        <v>0</v>
      </c>
      <c r="K29" s="1">
        <v>21</v>
      </c>
      <c r="M29" s="1" cm="1">
        <f t="array" ref="M29">_xlfn.LET(_xlpm.pts,INDEX(_xlfn.ANCHORARRAY($N$4),0,6),1+COUNTIF(_xlpm.pts,"&gt;"&amp;INDEX(_xlfn.ANCHORARRAY($N$4),ROW()-ROW($M$4)+1,6)))</f>
        <v>26</v>
      </c>
      <c r="N29" t="str">
        <v>Andy Whiteside</v>
      </c>
      <c r="O29" s="1">
        <v>0</v>
      </c>
      <c r="P29" s="4">
        <v>0</v>
      </c>
      <c r="Q29" s="1">
        <v>0</v>
      </c>
      <c r="R29" s="1">
        <v>15</v>
      </c>
      <c r="S29" s="1">
        <v>15</v>
      </c>
      <c r="U29" s="1" cm="1">
        <f t="array" ref="U29">_xlfn.LET(_xlpm.pts,INDEX(_xlfn.ANCHORARRAY($V$4),0,6),1+COUNTIF(_xlpm.pts,"&gt;"&amp;INDEX(_xlfn.ANCHORARRAY($V$4),ROW()-ROW($U$4)+1,6)))</f>
        <v>26</v>
      </c>
      <c r="V29" t="str">
        <v>Nick Davis</v>
      </c>
      <c r="W29" s="1">
        <v>20</v>
      </c>
      <c r="X29" s="4">
        <v>1.8634259259259257E-2</v>
      </c>
      <c r="Y29" s="1">
        <v>15</v>
      </c>
      <c r="Z29" s="1">
        <v>5</v>
      </c>
      <c r="AA29" s="1">
        <v>20</v>
      </c>
      <c r="AC29" s="10" cm="1">
        <f t="array" ref="AC29">_xlfn.LET(_xlpm.pts,INDEX(_xlfn.ANCHORARRAY($AD$4),0,6),1+COUNTIF(_xlpm.pts,"&gt;"&amp;INDEX(_xlfn.ANCHORARRAY($AD$4),ROW()-ROW($AC$4)+1,6)))</f>
        <v>24</v>
      </c>
      <c r="AD29" t="str">
        <v>Harry Bunnell</v>
      </c>
      <c r="AE29" s="1">
        <v>0</v>
      </c>
      <c r="AF29" s="4">
        <v>0</v>
      </c>
      <c r="AG29" s="1">
        <v>0</v>
      </c>
      <c r="AH29" s="1">
        <v>15</v>
      </c>
      <c r="AI29" s="1">
        <v>15</v>
      </c>
      <c r="AK29" s="1" cm="1">
        <f t="array" ref="AK29">_xlfn.LET(_xlpm.pts,INDEX(_xlfn.ANCHORARRAY($AL$4),0,6),1+COUNTIF(_xlpm.pts,"&gt;"&amp;INDEX(_xlfn.ANCHORARRAY($AL$4),ROW()-ROW($AK$4)+1,6)))</f>
        <v>24</v>
      </c>
      <c r="AL29" t="str">
        <v>Richard Southcott</v>
      </c>
      <c r="AM29" s="1">
        <v>0</v>
      </c>
      <c r="AN29" s="4">
        <v>0</v>
      </c>
      <c r="AO29" s="1">
        <v>0</v>
      </c>
      <c r="AP29" s="1">
        <v>15</v>
      </c>
      <c r="AQ29" s="1">
        <v>15</v>
      </c>
      <c r="AS29" s="1" cm="1">
        <f t="array" ref="AS29">_xlfn.LET(_xlpm.pts,INDEX(_xlfn.ANCHORARRAY($AT$4),0,6),1+COUNTIF(_xlpm.pts,"&gt;"&amp;INDEX(_xlfn.ANCHORARRAY($AT$4),ROW()-ROW($AU$4)+1,6)))</f>
        <v>22</v>
      </c>
      <c r="AT29" t="str">
        <v>Richard Turner</v>
      </c>
      <c r="AU29" s="1">
        <v>0</v>
      </c>
      <c r="AV29" s="4">
        <v>0</v>
      </c>
      <c r="AW29" s="1">
        <v>0</v>
      </c>
      <c r="AX29" s="1">
        <v>15</v>
      </c>
      <c r="AY29" s="1">
        <v>15</v>
      </c>
    </row>
    <row r="30" spans="1:51" x14ac:dyDescent="0.2">
      <c r="A30" s="1" cm="1">
        <f t="array" ref="A30">_xlfn.LET(_xlpm.pts,INDEX(_xlfn.ANCHORARRAY($B$4),0,2),1+COUNTIF(_xlpm.pts,"&gt;"&amp;INDEX(_xlfn.ANCHORARRAY($B$4),ROW()-ROW($A$4)+1,2)))</f>
        <v>27</v>
      </c>
      <c r="B30" s="8" t="str">
        <v>Matt De Freitas</v>
      </c>
      <c r="C30" s="1">
        <v>97</v>
      </c>
      <c r="E30" s="1" cm="1">
        <f t="array" ref="E30">_xlfn.LET(_xlpm.pts,INDEX(_xlfn.ANCHORARRAY($F$4),0,6),1+COUNTIF(_xlpm.pts,"&gt;"&amp;INDEX(_xlfn.ANCHORARRAY($F$4),ROW()-ROW($E$4)+1,6)))</f>
        <v>27</v>
      </c>
      <c r="F30" t="str">
        <v>Alan Grant</v>
      </c>
      <c r="G30" s="1">
        <v>25</v>
      </c>
      <c r="H30" s="4">
        <v>1.2407407407407409E-2</v>
      </c>
      <c r="I30" s="1">
        <v>10</v>
      </c>
      <c r="J30" s="1">
        <v>10</v>
      </c>
      <c r="K30" s="1">
        <v>20</v>
      </c>
      <c r="M30" s="1" cm="1">
        <f t="array" ref="M30">_xlfn.LET(_xlpm.pts,INDEX(_xlfn.ANCHORARRAY($N$4),0,6),1+COUNTIF(_xlpm.pts,"&gt;"&amp;INDEX(_xlfn.ANCHORARRAY($N$4),ROW()-ROW($M$4)+1,6)))</f>
        <v>26</v>
      </c>
      <c r="N30" t="str">
        <v>Grant Campbell</v>
      </c>
      <c r="O30" s="1">
        <v>0</v>
      </c>
      <c r="P30" s="4">
        <v>0</v>
      </c>
      <c r="Q30" s="1">
        <v>0</v>
      </c>
      <c r="R30" s="1">
        <v>15</v>
      </c>
      <c r="S30" s="1">
        <v>15</v>
      </c>
      <c r="U30" s="1" cm="1">
        <f t="array" ref="U30">_xlfn.LET(_xlpm.pts,INDEX(_xlfn.ANCHORARRAY($V$4),0,6),1+COUNTIF(_xlpm.pts,"&gt;"&amp;INDEX(_xlfn.ANCHORARRAY($V$4),ROW()-ROW($U$4)+1,6)))</f>
        <v>27</v>
      </c>
      <c r="V30" t="str">
        <v>Conor Walsh</v>
      </c>
      <c r="W30" s="1">
        <v>16</v>
      </c>
      <c r="X30" s="4">
        <v>1.8287037037037036E-2</v>
      </c>
      <c r="Y30" s="1">
        <v>19</v>
      </c>
      <c r="Z30" s="1">
        <v>0</v>
      </c>
      <c r="AA30" s="1">
        <v>19</v>
      </c>
      <c r="AC30" s="10" cm="1">
        <f t="array" ref="AC30">_xlfn.LET(_xlpm.pts,INDEX(_xlfn.ANCHORARRAY($AD$4),0,6),1+COUNTIF(_xlpm.pts,"&gt;"&amp;INDEX(_xlfn.ANCHORARRAY($AD$4),ROW()-ROW($AC$4)+1,6)))</f>
        <v>24</v>
      </c>
      <c r="AD30" t="str">
        <v>Richard Southcott</v>
      </c>
      <c r="AE30" s="1">
        <v>0</v>
      </c>
      <c r="AF30" s="4">
        <v>0</v>
      </c>
      <c r="AG30" s="1">
        <v>0</v>
      </c>
      <c r="AH30" s="1">
        <v>15</v>
      </c>
      <c r="AI30" s="1">
        <v>15</v>
      </c>
      <c r="AK30" s="1" cm="1">
        <f t="array" ref="AK30">_xlfn.LET(_xlpm.pts,INDEX(_xlfn.ANCHORARRAY($AL$4),0,6),1+COUNTIF(_xlpm.pts,"&gt;"&amp;INDEX(_xlfn.ANCHORARRAY($AL$4),ROW()-ROW($AK$4)+1,6)))</f>
        <v>24</v>
      </c>
      <c r="AL30" t="str">
        <v>Richard Turner</v>
      </c>
      <c r="AM30" s="1">
        <v>0</v>
      </c>
      <c r="AN30" s="4">
        <v>0</v>
      </c>
      <c r="AO30" s="1">
        <v>0</v>
      </c>
      <c r="AP30" s="1">
        <v>15</v>
      </c>
      <c r="AQ30" s="1">
        <v>15</v>
      </c>
      <c r="AS30" s="1" cm="1">
        <f t="array" ref="AS30">_xlfn.LET(_xlpm.pts,INDEX(_xlfn.ANCHORARRAY($AT$4),0,6),1+COUNTIF(_xlpm.pts,"&gt;"&amp;INDEX(_xlfn.ANCHORARRAY($AT$4),ROW()-ROW($AU$4)+1,6)))</f>
        <v>27</v>
      </c>
      <c r="AT30" t="str">
        <v>David Willis</v>
      </c>
      <c r="AU30" s="1">
        <v>0</v>
      </c>
      <c r="AV30" s="4">
        <v>0</v>
      </c>
      <c r="AW30" s="1">
        <v>0</v>
      </c>
      <c r="AX30" s="1">
        <v>10</v>
      </c>
      <c r="AY30" s="1">
        <v>10</v>
      </c>
    </row>
    <row r="31" spans="1:51" x14ac:dyDescent="0.2">
      <c r="A31" s="1" cm="1">
        <f t="array" ref="A31">_xlfn.LET(_xlpm.pts,INDEX(_xlfn.ANCHORARRAY($B$4),0,2),1+COUNTIF(_xlpm.pts,"&gt;"&amp;INDEX(_xlfn.ANCHORARRAY($B$4),ROW()-ROW($A$4)+1,2)))</f>
        <v>28</v>
      </c>
      <c r="B31" s="8" t="str">
        <v>Olly Wright</v>
      </c>
      <c r="C31" s="1">
        <v>94</v>
      </c>
      <c r="E31" s="1" cm="1">
        <f t="array" ref="E31">_xlfn.LET(_xlpm.pts,INDEX(_xlfn.ANCHORARRAY($F$4),0,6),1+COUNTIF(_xlpm.pts,"&gt;"&amp;INDEX(_xlfn.ANCHORARRAY($F$4),ROW()-ROW($E$4)+1,6)))</f>
        <v>28</v>
      </c>
      <c r="F31" t="str">
        <v>Nick Davis</v>
      </c>
      <c r="G31" s="1">
        <v>24</v>
      </c>
      <c r="H31" s="4">
        <v>1.238425925925926E-2</v>
      </c>
      <c r="I31" s="1">
        <v>11</v>
      </c>
      <c r="J31" s="1">
        <v>5</v>
      </c>
      <c r="K31" s="1">
        <v>16</v>
      </c>
      <c r="M31" s="1" cm="1">
        <f t="array" ref="M31">_xlfn.LET(_xlpm.pts,INDEX(_xlfn.ANCHORARRAY($N$4),0,6),1+COUNTIF(_xlpm.pts,"&gt;"&amp;INDEX(_xlfn.ANCHORARRAY($N$4),ROW()-ROW($M$4)+1,6)))</f>
        <v>26</v>
      </c>
      <c r="N31" t="str">
        <v>Richard Southcott</v>
      </c>
      <c r="O31" s="1">
        <v>0</v>
      </c>
      <c r="P31" s="4">
        <v>0</v>
      </c>
      <c r="Q31" s="1">
        <v>0</v>
      </c>
      <c r="R31" s="1">
        <v>15</v>
      </c>
      <c r="S31" s="1">
        <v>15</v>
      </c>
      <c r="U31" s="1" cm="1">
        <f t="array" ref="U31">_xlfn.LET(_xlpm.pts,INDEX(_xlfn.ANCHORARRAY($V$4),0,6),1+COUNTIF(_xlpm.pts,"&gt;"&amp;INDEX(_xlfn.ANCHORARRAY($V$4),ROW()-ROW($U$4)+1,6)))</f>
        <v>28</v>
      </c>
      <c r="V31" t="str">
        <v>Andy Whiteside</v>
      </c>
      <c r="W31" s="1">
        <v>0</v>
      </c>
      <c r="X31" s="4">
        <v>0</v>
      </c>
      <c r="Y31" s="1">
        <v>0</v>
      </c>
      <c r="Z31" s="1">
        <v>15</v>
      </c>
      <c r="AA31" s="1">
        <v>15</v>
      </c>
      <c r="AC31" s="10" cm="1">
        <f t="array" ref="AC31">_xlfn.LET(_xlpm.pts,INDEX(_xlfn.ANCHORARRAY($AD$4),0,6),1+COUNTIF(_xlpm.pts,"&gt;"&amp;INDEX(_xlfn.ANCHORARRAY($AD$4),ROW()-ROW($AC$4)+1,6)))</f>
        <v>24</v>
      </c>
      <c r="AD31" t="str">
        <v>Richard Turner</v>
      </c>
      <c r="AE31" s="1">
        <v>0</v>
      </c>
      <c r="AF31" s="4">
        <v>0</v>
      </c>
      <c r="AG31" s="1">
        <v>0</v>
      </c>
      <c r="AH31" s="1">
        <v>15</v>
      </c>
      <c r="AI31" s="1">
        <v>15</v>
      </c>
      <c r="AK31" s="1" cm="1">
        <f t="array" ref="AK31">_xlfn.LET(_xlpm.pts,INDEX(_xlfn.ANCHORARRAY($AL$4),0,6),1+COUNTIF(_xlpm.pts,"&gt;"&amp;INDEX(_xlfn.ANCHORARRAY($AL$4),ROW()-ROW($AK$4)+1,6)))</f>
        <v>28</v>
      </c>
      <c r="AL31" t="str">
        <v>Olly Wright</v>
      </c>
      <c r="AM31" s="1">
        <v>0</v>
      </c>
      <c r="AN31" s="4">
        <v>0</v>
      </c>
      <c r="AO31" s="1">
        <v>0</v>
      </c>
      <c r="AP31" s="1">
        <v>10</v>
      </c>
      <c r="AQ31" s="1">
        <v>10</v>
      </c>
      <c r="AS31" s="1" cm="1">
        <f t="array" ref="AS31">_xlfn.LET(_xlpm.pts,INDEX(_xlfn.ANCHORARRAY($AT$4),0,6),1+COUNTIF(_xlpm.pts,"&gt;"&amp;INDEX(_xlfn.ANCHORARRAY($AT$4),ROW()-ROW($AU$4)+1,6)))</f>
        <v>27</v>
      </c>
      <c r="AT31" t="str">
        <v>Olly Wright</v>
      </c>
      <c r="AU31" s="1">
        <v>0</v>
      </c>
      <c r="AV31" s="4">
        <v>0</v>
      </c>
      <c r="AW31" s="1">
        <v>0</v>
      </c>
      <c r="AX31" s="1">
        <v>10</v>
      </c>
      <c r="AY31" s="1">
        <v>10</v>
      </c>
    </row>
    <row r="32" spans="1:51" x14ac:dyDescent="0.2">
      <c r="A32" s="1" cm="1">
        <f t="array" ref="A32">_xlfn.LET(_xlpm.pts,INDEX(_xlfn.ANCHORARRAY($B$4),0,2),1+COUNTIF(_xlpm.pts,"&gt;"&amp;INDEX(_xlfn.ANCHORARRAY($B$4),ROW()-ROW($A$4)+1,2)))</f>
        <v>29</v>
      </c>
      <c r="B32" s="8" t="str">
        <v>Grant Campbell</v>
      </c>
      <c r="C32" s="1">
        <v>90</v>
      </c>
      <c r="E32" s="1" cm="1">
        <f t="array" ref="E32">_xlfn.LET(_xlpm.pts,INDEX(_xlfn.ANCHORARRAY($F$4),0,6),1+COUNTIF(_xlpm.pts,"&gt;"&amp;INDEX(_xlfn.ANCHORARRAY($F$4),ROW()-ROW($E$4)+1,6)))</f>
        <v>29</v>
      </c>
      <c r="F32" t="str">
        <v>Ellen Lockett</v>
      </c>
      <c r="G32" s="1">
        <v>0</v>
      </c>
      <c r="H32" s="4">
        <v>0</v>
      </c>
      <c r="I32" s="1">
        <v>0</v>
      </c>
      <c r="J32" s="1">
        <v>15</v>
      </c>
      <c r="K32" s="1">
        <v>15</v>
      </c>
      <c r="M32" s="1" cm="1">
        <f t="array" ref="M32">_xlfn.LET(_xlpm.pts,INDEX(_xlfn.ANCHORARRAY($N$4),0,6),1+COUNTIF(_xlpm.pts,"&gt;"&amp;INDEX(_xlfn.ANCHORARRAY($N$4),ROW()-ROW($M$4)+1,6)))</f>
        <v>29</v>
      </c>
      <c r="N32" t="str">
        <v>Olly Wright</v>
      </c>
      <c r="O32" s="1">
        <v>0</v>
      </c>
      <c r="P32" s="4">
        <v>0</v>
      </c>
      <c r="Q32" s="1">
        <v>0</v>
      </c>
      <c r="R32" s="1">
        <v>10</v>
      </c>
      <c r="S32" s="1">
        <v>10</v>
      </c>
      <c r="U32" s="1" cm="1">
        <f t="array" ref="U32">_xlfn.LET(_xlpm.pts,INDEX(_xlfn.ANCHORARRAY($V$4),0,6),1+COUNTIF(_xlpm.pts,"&gt;"&amp;INDEX(_xlfn.ANCHORARRAY($V$4),ROW()-ROW($U$4)+1,6)))</f>
        <v>28</v>
      </c>
      <c r="V32" t="str">
        <v>Grant Campbell</v>
      </c>
      <c r="W32" s="1">
        <v>0</v>
      </c>
      <c r="X32" s="4">
        <v>0</v>
      </c>
      <c r="Y32" s="1">
        <v>0</v>
      </c>
      <c r="Z32" s="1">
        <v>15</v>
      </c>
      <c r="AA32" s="1">
        <v>15</v>
      </c>
      <c r="AC32" s="10" cm="1">
        <f t="array" ref="AC32">_xlfn.LET(_xlpm.pts,INDEX(_xlfn.ANCHORARRAY($AD$4),0,6),1+COUNTIF(_xlpm.pts,"&gt;"&amp;INDEX(_xlfn.ANCHORARRAY($AD$4),ROW()-ROW($AC$4)+1,6)))</f>
        <v>29</v>
      </c>
      <c r="AD32" t="str">
        <v>Olly Wright</v>
      </c>
      <c r="AE32" s="1">
        <v>0</v>
      </c>
      <c r="AF32" s="4">
        <v>0</v>
      </c>
      <c r="AG32" s="1">
        <v>0</v>
      </c>
      <c r="AH32" s="1">
        <v>10</v>
      </c>
      <c r="AI32" s="1">
        <v>10</v>
      </c>
      <c r="AK32" s="1" cm="1">
        <f t="array" ref="AK32">_xlfn.LET(_xlpm.pts,INDEX(_xlfn.ANCHORARRAY($AL$4),0,6),1+COUNTIF(_xlpm.pts,"&gt;"&amp;INDEX(_xlfn.ANCHORARRAY($AL$4),ROW()-ROW($AK$4)+1,6)))</f>
        <v>29</v>
      </c>
      <c r="AL32" t="str">
        <v>Matt De Freitas</v>
      </c>
      <c r="AM32" s="1">
        <v>0</v>
      </c>
      <c r="AN32" s="4">
        <v>0</v>
      </c>
      <c r="AO32" s="1">
        <v>0</v>
      </c>
      <c r="AP32" s="1">
        <v>5</v>
      </c>
      <c r="AQ32" s="1">
        <v>5</v>
      </c>
      <c r="AS32" s="1" cm="1">
        <f t="array" ref="AS32">_xlfn.LET(_xlpm.pts,INDEX(_xlfn.ANCHORARRAY($AT$4),0,6),1+COUNTIF(_xlpm.pts,"&gt;"&amp;INDEX(_xlfn.ANCHORARRAY($AT$4),ROW()-ROW($AU$4)+1,6)))</f>
        <v>29</v>
      </c>
      <c r="AT32" t="str">
        <v>Matt De Freitas</v>
      </c>
      <c r="AU32" s="1">
        <v>0</v>
      </c>
      <c r="AV32" s="4">
        <v>0</v>
      </c>
      <c r="AW32" s="1">
        <v>0</v>
      </c>
      <c r="AX32" s="1">
        <v>5</v>
      </c>
      <c r="AY32" s="1">
        <v>5</v>
      </c>
    </row>
    <row r="33" spans="1:51" x14ac:dyDescent="0.2">
      <c r="A33" s="1" cm="1">
        <f t="array" ref="A33">_xlfn.LET(_xlpm.pts,INDEX(_xlfn.ANCHORARRAY($B$4),0,2),1+COUNTIF(_xlpm.pts,"&gt;"&amp;INDEX(_xlfn.ANCHORARRAY($B$4),ROW()-ROW($A$4)+1,2)))</f>
        <v>30</v>
      </c>
      <c r="B33" s="8" t="str">
        <v>Nick Davis</v>
      </c>
      <c r="C33" s="1">
        <v>71</v>
      </c>
      <c r="E33" s="1" cm="1">
        <f t="array" ref="E33">_xlfn.LET(_xlpm.pts,INDEX(_xlfn.ANCHORARRAY($F$4),0,6),1+COUNTIF(_xlpm.pts,"&gt;"&amp;INDEX(_xlfn.ANCHORARRAY($F$4),ROW()-ROW($E$4)+1,6)))</f>
        <v>29</v>
      </c>
      <c r="F33" t="str">
        <v>Grant Campbell</v>
      </c>
      <c r="G33" s="1">
        <v>0</v>
      </c>
      <c r="H33" s="4">
        <v>0</v>
      </c>
      <c r="I33" s="1">
        <v>0</v>
      </c>
      <c r="J33" s="1">
        <v>15</v>
      </c>
      <c r="K33" s="1">
        <v>15</v>
      </c>
      <c r="M33" s="1" cm="1">
        <f t="array" ref="M33">_xlfn.LET(_xlpm.pts,INDEX(_xlfn.ANCHORARRAY($N$4),0,6),1+COUNTIF(_xlpm.pts,"&gt;"&amp;INDEX(_xlfn.ANCHORARRAY($N$4),ROW()-ROW($M$4)+1,6)))</f>
        <v>30</v>
      </c>
      <c r="N33" t="str">
        <v>Nick Davis</v>
      </c>
      <c r="O33" s="1">
        <v>0</v>
      </c>
      <c r="P33" s="4">
        <v>0</v>
      </c>
      <c r="Q33" s="1">
        <v>0</v>
      </c>
      <c r="R33" s="1">
        <v>5</v>
      </c>
      <c r="S33" s="1">
        <v>5</v>
      </c>
      <c r="U33" s="1" cm="1">
        <f t="array" ref="U33">_xlfn.LET(_xlpm.pts,INDEX(_xlfn.ANCHORARRAY($V$4),0,6),1+COUNTIF(_xlpm.pts,"&gt;"&amp;INDEX(_xlfn.ANCHORARRAY($V$4),ROW()-ROW($U$4)+1,6)))</f>
        <v>28</v>
      </c>
      <c r="V33" t="str">
        <v>Richard Southcott</v>
      </c>
      <c r="W33" s="1">
        <v>0</v>
      </c>
      <c r="X33" s="4">
        <v>0</v>
      </c>
      <c r="Y33" s="1">
        <v>0</v>
      </c>
      <c r="Z33" s="1">
        <v>15</v>
      </c>
      <c r="AA33" s="1">
        <v>15</v>
      </c>
      <c r="AC33" s="10" cm="1">
        <f t="array" ref="AC33">_xlfn.LET(_xlpm.pts,INDEX(_xlfn.ANCHORARRAY($AD$4),0,6),1+COUNTIF(_xlpm.pts,"&gt;"&amp;INDEX(_xlfn.ANCHORARRAY($AD$4),ROW()-ROW($AC$4)+1,6)))</f>
        <v>30</v>
      </c>
      <c r="AD33" t="str">
        <v>Matt De Freitas</v>
      </c>
      <c r="AE33" s="1">
        <v>0</v>
      </c>
      <c r="AF33" s="4">
        <v>0</v>
      </c>
      <c r="AG33" s="1">
        <v>0</v>
      </c>
      <c r="AH33" s="1">
        <v>5</v>
      </c>
      <c r="AI33" s="1">
        <v>5</v>
      </c>
      <c r="AK33" s="1" cm="1">
        <f t="array" ref="AK33">_xlfn.LET(_xlpm.pts,INDEX(_xlfn.ANCHORARRAY($AL$4),0,6),1+COUNTIF(_xlpm.pts,"&gt;"&amp;INDEX(_xlfn.ANCHORARRAY($AL$4),ROW()-ROW($AK$4)+1,6)))</f>
        <v>29</v>
      </c>
      <c r="AL33" t="str">
        <v>Nick Davis</v>
      </c>
      <c r="AM33" s="1">
        <v>0</v>
      </c>
      <c r="AN33" s="4">
        <v>0</v>
      </c>
      <c r="AO33" s="1">
        <v>0</v>
      </c>
      <c r="AP33" s="1">
        <v>5</v>
      </c>
      <c r="AQ33" s="1">
        <v>5</v>
      </c>
      <c r="AS33" s="1" cm="1">
        <f t="array" ref="AS33">_xlfn.LET(_xlpm.pts,INDEX(_xlfn.ANCHORARRAY($AT$4),0,6),1+COUNTIF(_xlpm.pts,"&gt;"&amp;INDEX(_xlfn.ANCHORARRAY($AT$4),ROW()-ROW($AU$4)+1,6)))</f>
        <v>29</v>
      </c>
      <c r="AT33" t="str">
        <v>Nick Davis</v>
      </c>
      <c r="AU33" s="1">
        <v>0</v>
      </c>
      <c r="AV33" s="4">
        <v>0</v>
      </c>
      <c r="AW33" s="1">
        <v>0</v>
      </c>
      <c r="AX33" s="1">
        <v>5</v>
      </c>
      <c r="AY33" s="1">
        <v>5</v>
      </c>
    </row>
  </sheetData>
  <mergeCells count="7">
    <mergeCell ref="AC1:AI1"/>
    <mergeCell ref="AK1:AQ1"/>
    <mergeCell ref="AS1:AY1"/>
    <mergeCell ref="A1:C1"/>
    <mergeCell ref="E1:K1"/>
    <mergeCell ref="M1:S1"/>
    <mergeCell ref="U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Stage Data - A</vt:lpstr>
      <vt:lpstr>Handicaps</vt:lpstr>
      <vt:lpstr>Results - A</vt:lpstr>
      <vt:lpstr>CAP_B</vt:lpstr>
      <vt:lpstr>HDCP_GRP_B1</vt:lpstr>
      <vt:lpstr>HDCP_GRP_B2</vt:lpstr>
      <vt:lpstr>HDCP_GRP_B3</vt:lpstr>
      <vt:lpstr>HDCP_GRP_B4</vt:lpstr>
      <vt:lpstr>HDCP_V_B1</vt:lpstr>
      <vt:lpstr>HDCP_V_B2</vt:lpstr>
      <vt:lpstr>HDCP_V_B3</vt:lpstr>
      <vt:lpstr>HDCP_V_B4</vt:lpstr>
      <vt:lpstr>POINTS_CAP_B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Goddard</dc:creator>
  <cp:lastModifiedBy>David Goddard</cp:lastModifiedBy>
  <dcterms:created xsi:type="dcterms:W3CDTF">2025-02-17T16:56:52Z</dcterms:created>
  <dcterms:modified xsi:type="dcterms:W3CDTF">2026-01-10T15:28:39Z</dcterms:modified>
</cp:coreProperties>
</file>