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mg/Dev/Git/revisionist/random/Cycling/KWCC - TdZ/2026/"/>
    </mc:Choice>
  </mc:AlternateContent>
  <xr:revisionPtr revIDLastSave="0" documentId="13_ncr:1_{E7D7A04D-C611-5E4C-B50B-AB01BFDB2DAF}" xr6:coauthVersionLast="47" xr6:coauthVersionMax="47" xr10:uidLastSave="{00000000-0000-0000-0000-000000000000}"/>
  <bookViews>
    <workbookView xWindow="0" yWindow="0" windowWidth="28800" windowHeight="18000" activeTab="10" xr2:uid="{00000000-000D-0000-FFFF-FFFF00000000}"/>
  </bookViews>
  <sheets>
    <sheet name="Stage Data - A" sheetId="5" r:id="rId1"/>
    <sheet name="Stage Data - B" sheetId="2" r:id="rId2"/>
    <sheet name="Stage Data - W" sheetId="9" r:id="rId3"/>
    <sheet name="Handicaps" sheetId="3" r:id="rId4"/>
    <sheet name="Results - A" sheetId="6" r:id="rId5"/>
    <sheet name="Results - B" sheetId="4" r:id="rId6"/>
    <sheet name="Results - W" sheetId="10" r:id="rId7"/>
    <sheet name="Results - S1" sheetId="7" r:id="rId8"/>
    <sheet name="Results - S2" sheetId="11" r:id="rId9"/>
    <sheet name="Results - S3" sheetId="12" r:id="rId10"/>
    <sheet name="Results - S4" sheetId="13" r:id="rId11"/>
  </sheets>
  <definedNames>
    <definedName name="CAP_A">Handicaps!$A$7</definedName>
    <definedName name="CAP_B">Handicaps!$D$7</definedName>
    <definedName name="HDCP_GRP_A1">Handicaps!$A$2</definedName>
    <definedName name="HDCP_GRP_A2">Handicaps!$A$3</definedName>
    <definedName name="HDCP_GRP_A3">Handicaps!$A$4</definedName>
    <definedName name="HDCP_GRP_A4">Handicaps!$A$5</definedName>
    <definedName name="HDCP_GRP_B1">Handicaps!$D$2</definedName>
    <definedName name="HDCP_GRP_B2">Handicaps!$D$3</definedName>
    <definedName name="HDCP_GRP_B3">Handicaps!$D$4</definedName>
    <definedName name="HDCP_GRP_B4">Handicaps!$D$5</definedName>
    <definedName name="HDCP_V_A1">Handicaps!$B$2</definedName>
    <definedName name="HDCP_V_A2">Handicaps!$B$3</definedName>
    <definedName name="HDCP_V_A3">Handicaps!$B$4</definedName>
    <definedName name="HDCP_V_A4">Handicaps!$B$5</definedName>
    <definedName name="HDCP_V_B1">Handicaps!$E$2</definedName>
    <definedName name="HDCP_V_B2">Handicaps!$E$3</definedName>
    <definedName name="HDCP_V_B3">Handicaps!$E$4</definedName>
    <definedName name="HDCP_V_B4">Handicaps!$E$5</definedName>
    <definedName name="POINTS_CAP_A">Handicaps!$B$7</definedName>
    <definedName name="POINTS_CAP_B">Handicaps!$E$7</definedName>
    <definedName name="POINTS_CAP_W">'Stage Data - W'!$AX$2</definedName>
    <definedName name="_xlnm.Print_Area" localSheetId="7">'Results - S1'!$B$1:$L$89</definedName>
    <definedName name="_xlnm.Print_Area" localSheetId="8">'Results - S2'!$B$1:$L$89</definedName>
    <definedName name="_xlnm.Print_Area" localSheetId="9">'Results - S3'!$B$1:$T$89</definedName>
    <definedName name="_xlnm.Print_Area" localSheetId="10">'Results - S4'!$B$1:$L$90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13" l="1" a="1"/>
  <c r="G83" i="13" s="1"/>
  <c r="F84" i="13" a="1"/>
  <c r="F84" i="13" s="1"/>
  <c r="F85" i="13" a="1"/>
  <c r="F85" i="13" s="1"/>
  <c r="F86" i="13" a="1"/>
  <c r="F86" i="13"/>
  <c r="F87" i="13" a="1"/>
  <c r="F87" i="13"/>
  <c r="F88" i="13" a="1"/>
  <c r="F88" i="13" s="1"/>
  <c r="F89" i="13" a="1"/>
  <c r="F89" i="13" s="1"/>
  <c r="F83" i="13" a="1"/>
  <c r="F83" i="13" s="1"/>
  <c r="G39" i="13" a="1"/>
  <c r="G39" i="13" s="1"/>
  <c r="F65" i="13" a="1"/>
  <c r="F65" i="13" s="1"/>
  <c r="F66" i="13" a="1"/>
  <c r="F66" i="13"/>
  <c r="F67" i="13" a="1"/>
  <c r="F67" i="13"/>
  <c r="F68" i="13" a="1"/>
  <c r="F68" i="13"/>
  <c r="F69" i="13" a="1"/>
  <c r="F69" i="13" s="1"/>
  <c r="F70" i="13" a="1"/>
  <c r="F70" i="13"/>
  <c r="F71" i="13" a="1"/>
  <c r="F71" i="13"/>
  <c r="F72" i="13" a="1"/>
  <c r="F72" i="13"/>
  <c r="F73" i="13" a="1"/>
  <c r="F73" i="13" s="1"/>
  <c r="F74" i="13" a="1"/>
  <c r="F74" i="13" s="1"/>
  <c r="F75" i="13" a="1"/>
  <c r="F75" i="13" s="1"/>
  <c r="F76" i="13" a="1"/>
  <c r="F76" i="13"/>
  <c r="F77" i="13" a="1"/>
  <c r="F77" i="13" s="1"/>
  <c r="F78" i="13" a="1"/>
  <c r="F78" i="13" s="1"/>
  <c r="F40" i="13" a="1"/>
  <c r="F40" i="13" s="1"/>
  <c r="F41" i="13" a="1"/>
  <c r="F41" i="13" s="1"/>
  <c r="F42" i="13" a="1"/>
  <c r="F42" i="13"/>
  <c r="F43" i="13" a="1"/>
  <c r="F43" i="13"/>
  <c r="F44" i="13" a="1"/>
  <c r="F44" i="13" s="1"/>
  <c r="F45" i="13" a="1"/>
  <c r="F45" i="13" s="1"/>
  <c r="F46" i="13" a="1"/>
  <c r="F46" i="13"/>
  <c r="F47" i="13" a="1"/>
  <c r="F47" i="13"/>
  <c r="F48" i="13" a="1"/>
  <c r="F48" i="13" s="1"/>
  <c r="F49" i="13" a="1"/>
  <c r="F49" i="13" s="1"/>
  <c r="F50" i="13" a="1"/>
  <c r="F50" i="13"/>
  <c r="F51" i="13" a="1"/>
  <c r="F51" i="13"/>
  <c r="F52" i="13" a="1"/>
  <c r="F52" i="13" s="1"/>
  <c r="F53" i="13" a="1"/>
  <c r="F53" i="13" s="1"/>
  <c r="F54" i="13" a="1"/>
  <c r="F54" i="13"/>
  <c r="F55" i="13" a="1"/>
  <c r="F55" i="13"/>
  <c r="F56" i="13" a="1"/>
  <c r="F56" i="13" s="1"/>
  <c r="F57" i="13" a="1"/>
  <c r="F57" i="13" s="1"/>
  <c r="F58" i="13" a="1"/>
  <c r="F58" i="13"/>
  <c r="F59" i="13" a="1"/>
  <c r="F59" i="13"/>
  <c r="F60" i="13" a="1"/>
  <c r="F60" i="13" s="1"/>
  <c r="F61" i="13" a="1"/>
  <c r="F61" i="13" s="1"/>
  <c r="F62" i="13" a="1"/>
  <c r="F62" i="13"/>
  <c r="F63" i="13" a="1"/>
  <c r="F63" i="13"/>
  <c r="F64" i="13" a="1"/>
  <c r="F64" i="13" s="1"/>
  <c r="F39" i="13" a="1"/>
  <c r="F39" i="13" s="1"/>
  <c r="F9" i="13" a="1"/>
  <c r="F9" i="13" s="1"/>
  <c r="F10" i="13" a="1"/>
  <c r="F10" i="13" s="1"/>
  <c r="F11" i="13" a="1"/>
  <c r="F11" i="13" s="1"/>
  <c r="F12" i="13" a="1"/>
  <c r="F12" i="13"/>
  <c r="F13" i="13" a="1"/>
  <c r="F13" i="13" s="1"/>
  <c r="F14" i="13" a="1"/>
  <c r="F14" i="13" s="1"/>
  <c r="F15" i="13" a="1"/>
  <c r="F15" i="13" s="1"/>
  <c r="F16" i="13" a="1"/>
  <c r="F16" i="13"/>
  <c r="F17" i="13" a="1"/>
  <c r="F17" i="13" s="1"/>
  <c r="F18" i="13" a="1"/>
  <c r="F18" i="13" s="1"/>
  <c r="F19" i="13" a="1"/>
  <c r="F19" i="13" s="1"/>
  <c r="F20" i="13" a="1"/>
  <c r="F20" i="13"/>
  <c r="F21" i="13" a="1"/>
  <c r="F21" i="13" s="1"/>
  <c r="F22" i="13" a="1"/>
  <c r="F22" i="13" s="1"/>
  <c r="F23" i="13" a="1"/>
  <c r="F23" i="13" s="1"/>
  <c r="F24" i="13" a="1"/>
  <c r="F24" i="13"/>
  <c r="F25" i="13" a="1"/>
  <c r="F25" i="13" s="1"/>
  <c r="F26" i="13" a="1"/>
  <c r="F26" i="13" s="1"/>
  <c r="F27" i="13" a="1"/>
  <c r="F27" i="13" s="1"/>
  <c r="F28" i="13" a="1"/>
  <c r="F28" i="13"/>
  <c r="F29" i="13" a="1"/>
  <c r="F29" i="13" s="1"/>
  <c r="F30" i="13" a="1"/>
  <c r="F30" i="13" s="1"/>
  <c r="F31" i="13" a="1"/>
  <c r="F31" i="13" s="1"/>
  <c r="F32" i="13" a="1"/>
  <c r="F32" i="13"/>
  <c r="F33" i="13" a="1"/>
  <c r="F33" i="13" s="1"/>
  <c r="F34" i="13" a="1"/>
  <c r="F34" i="13" s="1"/>
  <c r="F8" i="13" a="1"/>
  <c r="F8" i="13"/>
  <c r="G8" i="13" a="1"/>
  <c r="G8" i="13" s="1"/>
  <c r="B78" i="13" a="1"/>
  <c r="B78" i="13" s="1"/>
  <c r="Y11" i="9"/>
  <c r="X11" i="9"/>
  <c r="Z11" i="9" s="1"/>
  <c r="Y10" i="9"/>
  <c r="X10" i="9"/>
  <c r="Z10" i="9" s="1"/>
  <c r="Y9" i="9"/>
  <c r="X9" i="9"/>
  <c r="Y8" i="9"/>
  <c r="X8" i="9"/>
  <c r="Y7" i="9"/>
  <c r="X7" i="9"/>
  <c r="Y6" i="9"/>
  <c r="X6" i="9"/>
  <c r="Y5" i="9"/>
  <c r="X5" i="9"/>
  <c r="X43" i="2"/>
  <c r="Y43" i="2"/>
  <c r="AD43" i="2"/>
  <c r="AE43" i="2"/>
  <c r="AJ43" i="2"/>
  <c r="AK43" i="2"/>
  <c r="AL43" i="2"/>
  <c r="AP43" i="2"/>
  <c r="AQ43" i="2"/>
  <c r="AR43" i="2"/>
  <c r="X44" i="2"/>
  <c r="Y44" i="2"/>
  <c r="AD44" i="2"/>
  <c r="AE44" i="2"/>
  <c r="AJ44" i="2"/>
  <c r="AK44" i="2"/>
  <c r="AL44" i="2"/>
  <c r="AP44" i="2"/>
  <c r="AQ44" i="2"/>
  <c r="AR44" i="2"/>
  <c r="R44" i="2"/>
  <c r="S44" i="2"/>
  <c r="L44" i="2"/>
  <c r="M44" i="2"/>
  <c r="F44" i="2"/>
  <c r="G44" i="2"/>
  <c r="Y42" i="2"/>
  <c r="X42" i="2"/>
  <c r="Y41" i="2"/>
  <c r="X41" i="2"/>
  <c r="Y40" i="2"/>
  <c r="X40" i="2"/>
  <c r="Y39" i="2"/>
  <c r="X39" i="2"/>
  <c r="Y38" i="2"/>
  <c r="X38" i="2"/>
  <c r="Y37" i="2"/>
  <c r="X37" i="2"/>
  <c r="Y36" i="2"/>
  <c r="X36" i="2"/>
  <c r="Y35" i="2"/>
  <c r="X35" i="2"/>
  <c r="Y34" i="2"/>
  <c r="X34" i="2"/>
  <c r="Y33" i="2"/>
  <c r="X33" i="2"/>
  <c r="Y32" i="2"/>
  <c r="X32" i="2"/>
  <c r="Y31" i="2"/>
  <c r="X31" i="2"/>
  <c r="Y30" i="2"/>
  <c r="X30" i="2"/>
  <c r="Y29" i="2"/>
  <c r="X29" i="2"/>
  <c r="Y28" i="2"/>
  <c r="X28" i="2"/>
  <c r="Y27" i="2"/>
  <c r="X27" i="2"/>
  <c r="Y26" i="2"/>
  <c r="X26" i="2"/>
  <c r="Y25" i="2"/>
  <c r="X25" i="2"/>
  <c r="Y24" i="2"/>
  <c r="X24" i="2"/>
  <c r="Y23" i="2"/>
  <c r="X23" i="2"/>
  <c r="Y22" i="2"/>
  <c r="X22" i="2"/>
  <c r="Y21" i="2"/>
  <c r="X21" i="2"/>
  <c r="Y20" i="2"/>
  <c r="X20" i="2"/>
  <c r="Y19" i="2"/>
  <c r="X19" i="2"/>
  <c r="Y18" i="2"/>
  <c r="X18" i="2"/>
  <c r="Y17" i="2"/>
  <c r="X17" i="2"/>
  <c r="Y16" i="2"/>
  <c r="X16" i="2"/>
  <c r="Y15" i="2"/>
  <c r="X15" i="2"/>
  <c r="Y14" i="2"/>
  <c r="X14" i="2"/>
  <c r="Y13" i="2"/>
  <c r="X13" i="2"/>
  <c r="Y12" i="2"/>
  <c r="X12" i="2"/>
  <c r="Y11" i="2"/>
  <c r="X11" i="2"/>
  <c r="Y10" i="2"/>
  <c r="X10" i="2"/>
  <c r="Y9" i="2"/>
  <c r="X9" i="2"/>
  <c r="Y8" i="2"/>
  <c r="X8" i="2"/>
  <c r="Y7" i="2"/>
  <c r="X7" i="2"/>
  <c r="Y6" i="2"/>
  <c r="X6" i="2"/>
  <c r="Y5" i="2"/>
  <c r="X5" i="2"/>
  <c r="AE31" i="5" a="1"/>
  <c r="AE31" i="5" s="1"/>
  <c r="AD31" i="5"/>
  <c r="AE30" i="5" a="1"/>
  <c r="AE30" i="5" s="1"/>
  <c r="AD30" i="5"/>
  <c r="AE29" i="5" a="1"/>
  <c r="AE29" i="5" s="1"/>
  <c r="AD29" i="5"/>
  <c r="AE28" i="5" a="1"/>
  <c r="AE28" i="5" s="1"/>
  <c r="AD28" i="5"/>
  <c r="AE27" i="5" a="1"/>
  <c r="AE27" i="5" s="1"/>
  <c r="AD27" i="5"/>
  <c r="AE26" i="5" a="1"/>
  <c r="AE26" i="5" s="1"/>
  <c r="AD26" i="5"/>
  <c r="AE25" i="5" a="1"/>
  <c r="AE25" i="5" s="1"/>
  <c r="AD25" i="5"/>
  <c r="AE24" i="5" a="1"/>
  <c r="AE24" i="5" s="1"/>
  <c r="AD24" i="5"/>
  <c r="AE23" i="5" a="1"/>
  <c r="AE23" i="5" s="1"/>
  <c r="AD23" i="5"/>
  <c r="AE22" i="5" a="1"/>
  <c r="AE22" i="5" s="1"/>
  <c r="AD22" i="5"/>
  <c r="AE21" i="5" a="1"/>
  <c r="AE21" i="5" s="1"/>
  <c r="AD21" i="5"/>
  <c r="AE20" i="5" a="1"/>
  <c r="AE20" i="5" s="1"/>
  <c r="AD20" i="5"/>
  <c r="AE19" i="5" a="1"/>
  <c r="AE19" i="5" s="1"/>
  <c r="AD19" i="5"/>
  <c r="AE18" i="5" a="1"/>
  <c r="AE18" i="5" s="1"/>
  <c r="AD18" i="5"/>
  <c r="AE17" i="5" a="1"/>
  <c r="AE17" i="5" s="1"/>
  <c r="AD17" i="5"/>
  <c r="AE16" i="5" a="1"/>
  <c r="AE16" i="5" s="1"/>
  <c r="AD16" i="5"/>
  <c r="AE15" i="5" a="1"/>
  <c r="AE15" i="5" s="1"/>
  <c r="AD15" i="5"/>
  <c r="AE14" i="5" a="1"/>
  <c r="AE14" i="5" s="1"/>
  <c r="AD14" i="5"/>
  <c r="AE13" i="5" a="1"/>
  <c r="AE13" i="5" s="1"/>
  <c r="AD13" i="5"/>
  <c r="AE12" i="5" a="1"/>
  <c r="AE12" i="5" s="1"/>
  <c r="AD12" i="5"/>
  <c r="AE11" i="5" a="1"/>
  <c r="AE11" i="5" s="1"/>
  <c r="AD11" i="5"/>
  <c r="AE10" i="5" a="1"/>
  <c r="AE10" i="5" s="1"/>
  <c r="AD10" i="5"/>
  <c r="AE9" i="5" a="1"/>
  <c r="AE9" i="5" s="1"/>
  <c r="AD9" i="5"/>
  <c r="AE8" i="5" a="1"/>
  <c r="AE8" i="5" s="1"/>
  <c r="AD8" i="5"/>
  <c r="AE7" i="5" a="1"/>
  <c r="AE7" i="5" s="1"/>
  <c r="AD7" i="5"/>
  <c r="AE6" i="5" a="1"/>
  <c r="AE6" i="5" s="1"/>
  <c r="AD6" i="5"/>
  <c r="AE5" i="5" a="1"/>
  <c r="AE5" i="5" s="1"/>
  <c r="AD5" i="5"/>
  <c r="Y31" i="5" a="1"/>
  <c r="Y31" i="5" s="1"/>
  <c r="X31" i="5"/>
  <c r="Y30" i="5" a="1"/>
  <c r="Y30" i="5" s="1"/>
  <c r="X30" i="5"/>
  <c r="Y29" i="5" a="1"/>
  <c r="Y29" i="5" s="1"/>
  <c r="X29" i="5"/>
  <c r="Y28" i="5" a="1"/>
  <c r="Y28" i="5" s="1"/>
  <c r="X28" i="5"/>
  <c r="Y27" i="5" a="1"/>
  <c r="Y27" i="5" s="1"/>
  <c r="X27" i="5"/>
  <c r="Y26" i="5" a="1"/>
  <c r="Y26" i="5" s="1"/>
  <c r="X26" i="5"/>
  <c r="Y25" i="5" a="1"/>
  <c r="Y25" i="5" s="1"/>
  <c r="X25" i="5"/>
  <c r="Y24" i="5" a="1"/>
  <c r="Y24" i="5" s="1"/>
  <c r="X24" i="5"/>
  <c r="Y23" i="5" a="1"/>
  <c r="Y23" i="5" s="1"/>
  <c r="X23" i="5"/>
  <c r="Y22" i="5" a="1"/>
  <c r="Y22" i="5" s="1"/>
  <c r="X22" i="5"/>
  <c r="Y21" i="5" a="1"/>
  <c r="Y21" i="5" s="1"/>
  <c r="X21" i="5"/>
  <c r="Y20" i="5" a="1"/>
  <c r="Y20" i="5" s="1"/>
  <c r="X20" i="5"/>
  <c r="Y19" i="5" a="1"/>
  <c r="Y19" i="5" s="1"/>
  <c r="X19" i="5"/>
  <c r="Y18" i="5" a="1"/>
  <c r="Y18" i="5" s="1"/>
  <c r="X18" i="5"/>
  <c r="Y17" i="5" a="1"/>
  <c r="Y17" i="5" s="1"/>
  <c r="X17" i="5"/>
  <c r="Y16" i="5" a="1"/>
  <c r="Y16" i="5" s="1"/>
  <c r="X16" i="5"/>
  <c r="Y15" i="5" a="1"/>
  <c r="Y15" i="5" s="1"/>
  <c r="X15" i="5"/>
  <c r="Y14" i="5" a="1"/>
  <c r="Y14" i="5" s="1"/>
  <c r="X14" i="5"/>
  <c r="Y13" i="5" a="1"/>
  <c r="Y13" i="5" s="1"/>
  <c r="X13" i="5"/>
  <c r="Y12" i="5" a="1"/>
  <c r="Y12" i="5" s="1"/>
  <c r="X12" i="5"/>
  <c r="Y11" i="5" a="1"/>
  <c r="Y11" i="5" s="1"/>
  <c r="X11" i="5"/>
  <c r="Y10" i="5" a="1"/>
  <c r="Y10" i="5" s="1"/>
  <c r="X10" i="5"/>
  <c r="Y9" i="5" a="1"/>
  <c r="Y9" i="5" s="1"/>
  <c r="X9" i="5"/>
  <c r="Y8" i="5" a="1"/>
  <c r="Y8" i="5" s="1"/>
  <c r="X8" i="5"/>
  <c r="Y7" i="5" a="1"/>
  <c r="Y7" i="5" s="1"/>
  <c r="X7" i="5"/>
  <c r="Y6" i="5" a="1"/>
  <c r="Y6" i="5" s="1"/>
  <c r="X6" i="5"/>
  <c r="Y5" i="5" a="1"/>
  <c r="Y5" i="5" s="1"/>
  <c r="X5" i="5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5" i="2"/>
  <c r="AP31" i="5"/>
  <c r="AP30" i="5"/>
  <c r="AP29" i="5"/>
  <c r="AP28" i="5"/>
  <c r="AP27" i="5"/>
  <c r="AP26" i="5"/>
  <c r="AP25" i="5"/>
  <c r="AP24" i="5"/>
  <c r="AP23" i="5"/>
  <c r="AP22" i="5"/>
  <c r="AP21" i="5"/>
  <c r="AP20" i="5"/>
  <c r="AP19" i="5"/>
  <c r="AP18" i="5"/>
  <c r="AP17" i="5"/>
  <c r="AP16" i="5"/>
  <c r="AP15" i="5"/>
  <c r="AP14" i="5"/>
  <c r="AP13" i="5"/>
  <c r="AP12" i="5"/>
  <c r="AP11" i="5"/>
  <c r="AP10" i="5"/>
  <c r="AP9" i="5"/>
  <c r="AP8" i="5"/>
  <c r="AP7" i="5"/>
  <c r="AP6" i="5"/>
  <c r="AP5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AJ5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5" i="5"/>
  <c r="AQ31" i="5" a="1"/>
  <c r="AQ31" i="5" s="1"/>
  <c r="AQ30" i="5" a="1"/>
  <c r="AQ30" i="5" s="1"/>
  <c r="AQ29" i="5" a="1"/>
  <c r="AQ29" i="5" s="1"/>
  <c r="AQ28" i="5" a="1"/>
  <c r="AQ28" i="5" s="1"/>
  <c r="AQ27" i="5" a="1"/>
  <c r="AQ27" i="5" s="1"/>
  <c r="AQ26" i="5" a="1"/>
  <c r="AQ26" i="5" s="1"/>
  <c r="AQ25" i="5" a="1"/>
  <c r="AQ25" i="5" s="1"/>
  <c r="AQ24" i="5" a="1"/>
  <c r="AQ24" i="5" s="1"/>
  <c r="AQ23" i="5" a="1"/>
  <c r="AQ23" i="5" s="1"/>
  <c r="AQ22" i="5" a="1"/>
  <c r="AQ22" i="5" s="1"/>
  <c r="AQ21" i="5" a="1"/>
  <c r="AQ21" i="5" s="1"/>
  <c r="AQ20" i="5" a="1"/>
  <c r="AQ20" i="5" s="1"/>
  <c r="AQ19" i="5" a="1"/>
  <c r="AQ19" i="5" s="1"/>
  <c r="AQ18" i="5" a="1"/>
  <c r="AQ18" i="5" s="1"/>
  <c r="AQ17" i="5" a="1"/>
  <c r="AQ17" i="5" s="1"/>
  <c r="AQ16" i="5" a="1"/>
  <c r="AQ16" i="5" s="1"/>
  <c r="AQ15" i="5" a="1"/>
  <c r="AQ15" i="5" s="1"/>
  <c r="AQ14" i="5" a="1"/>
  <c r="AQ14" i="5" s="1"/>
  <c r="AQ13" i="5" a="1"/>
  <c r="AQ13" i="5" s="1"/>
  <c r="AQ12" i="5" a="1"/>
  <c r="AQ12" i="5" s="1"/>
  <c r="AQ11" i="5" a="1"/>
  <c r="AQ11" i="5" s="1"/>
  <c r="AQ10" i="5" a="1"/>
  <c r="AQ10" i="5" s="1"/>
  <c r="AQ9" i="5" a="1"/>
  <c r="AQ9" i="5" s="1"/>
  <c r="AQ8" i="5" a="1"/>
  <c r="AQ8" i="5" s="1"/>
  <c r="AQ7" i="5" a="1"/>
  <c r="AQ7" i="5" s="1"/>
  <c r="AQ6" i="5" a="1"/>
  <c r="AQ6" i="5" s="1"/>
  <c r="AQ5" i="5" a="1"/>
  <c r="AQ5" i="5" s="1"/>
  <c r="AK31" i="5" a="1"/>
  <c r="AK31" i="5" s="1"/>
  <c r="AK30" i="5" a="1"/>
  <c r="AK30" i="5" s="1"/>
  <c r="AK29" i="5" a="1"/>
  <c r="AK29" i="5" s="1"/>
  <c r="AK28" i="5" a="1"/>
  <c r="AK28" i="5" s="1"/>
  <c r="AK27" i="5" a="1"/>
  <c r="AK27" i="5" s="1"/>
  <c r="AK26" i="5" a="1"/>
  <c r="AK26" i="5" s="1"/>
  <c r="AK25" i="5" a="1"/>
  <c r="AK25" i="5" s="1"/>
  <c r="AK24" i="5" a="1"/>
  <c r="AK24" i="5" s="1"/>
  <c r="AK23" i="5" a="1"/>
  <c r="AK23" i="5" s="1"/>
  <c r="AK22" i="5" a="1"/>
  <c r="AK22" i="5" s="1"/>
  <c r="AK21" i="5" a="1"/>
  <c r="AK21" i="5" s="1"/>
  <c r="AK20" i="5" a="1"/>
  <c r="AK20" i="5" s="1"/>
  <c r="AK19" i="5" a="1"/>
  <c r="AK19" i="5" s="1"/>
  <c r="AK18" i="5" a="1"/>
  <c r="AK18" i="5" s="1"/>
  <c r="AK17" i="5" a="1"/>
  <c r="AK17" i="5" s="1"/>
  <c r="AK16" i="5" a="1"/>
  <c r="AK16" i="5" s="1"/>
  <c r="AK15" i="5" a="1"/>
  <c r="AK15" i="5" s="1"/>
  <c r="AK14" i="5" a="1"/>
  <c r="AK14" i="5" s="1"/>
  <c r="AK13" i="5" a="1"/>
  <c r="AK13" i="5" s="1"/>
  <c r="AK12" i="5" a="1"/>
  <c r="AK12" i="5" s="1"/>
  <c r="AK11" i="5" a="1"/>
  <c r="AK11" i="5" s="1"/>
  <c r="AK10" i="5" a="1"/>
  <c r="AK10" i="5" s="1"/>
  <c r="AK9" i="5" a="1"/>
  <c r="AK9" i="5" s="1"/>
  <c r="AK8" i="5" a="1"/>
  <c r="AK8" i="5" s="1"/>
  <c r="AK7" i="5" a="1"/>
  <c r="AK7" i="5" s="1"/>
  <c r="AK6" i="5" a="1"/>
  <c r="AK6" i="5" s="1"/>
  <c r="AK5" i="5" a="1"/>
  <c r="AK5" i="5" s="1"/>
  <c r="M31" i="5" a="1"/>
  <c r="M31" i="5" s="1"/>
  <c r="M30" i="5" a="1"/>
  <c r="M30" i="5" s="1"/>
  <c r="M29" i="5" a="1"/>
  <c r="M29" i="5" s="1"/>
  <c r="M28" i="5" a="1"/>
  <c r="M28" i="5" s="1"/>
  <c r="M27" i="5" a="1"/>
  <c r="M27" i="5" s="1"/>
  <c r="M26" i="5" a="1"/>
  <c r="M26" i="5" s="1"/>
  <c r="M25" i="5" a="1"/>
  <c r="M25" i="5" s="1"/>
  <c r="M24" i="5" a="1"/>
  <c r="M24" i="5" s="1"/>
  <c r="M23" i="5" a="1"/>
  <c r="M23" i="5" s="1"/>
  <c r="M22" i="5" a="1"/>
  <c r="M22" i="5" s="1"/>
  <c r="M21" i="5" a="1"/>
  <c r="M21" i="5" s="1"/>
  <c r="M20" i="5" a="1"/>
  <c r="M20" i="5" s="1"/>
  <c r="M19" i="5" a="1"/>
  <c r="M19" i="5" s="1"/>
  <c r="M18" i="5" a="1"/>
  <c r="M18" i="5" s="1"/>
  <c r="M17" i="5" a="1"/>
  <c r="M17" i="5" s="1"/>
  <c r="M16" i="5" a="1"/>
  <c r="M16" i="5" s="1"/>
  <c r="M15" i="5" a="1"/>
  <c r="M15" i="5" s="1"/>
  <c r="M14" i="5" a="1"/>
  <c r="M14" i="5" s="1"/>
  <c r="M13" i="5" a="1"/>
  <c r="M13" i="5" s="1"/>
  <c r="M12" i="5" a="1"/>
  <c r="M12" i="5" s="1"/>
  <c r="M11" i="5" a="1"/>
  <c r="M11" i="5" s="1"/>
  <c r="M10" i="5" a="1"/>
  <c r="M10" i="5" s="1"/>
  <c r="M9" i="5" a="1"/>
  <c r="M9" i="5" s="1"/>
  <c r="M8" i="5" a="1"/>
  <c r="M8" i="5" s="1"/>
  <c r="M7" i="5" a="1"/>
  <c r="M7" i="5" s="1"/>
  <c r="M6" i="5" a="1"/>
  <c r="M6" i="5" s="1"/>
  <c r="M5" i="5" a="1"/>
  <c r="M5" i="5" s="1"/>
  <c r="S31" i="5" a="1"/>
  <c r="S31" i="5" s="1"/>
  <c r="S30" i="5" a="1"/>
  <c r="S30" i="5" s="1"/>
  <c r="S29" i="5" a="1"/>
  <c r="S29" i="5" s="1"/>
  <c r="S28" i="5" a="1"/>
  <c r="S28" i="5" s="1"/>
  <c r="S27" i="5" a="1"/>
  <c r="S27" i="5" s="1"/>
  <c r="S26" i="5" a="1"/>
  <c r="S26" i="5" s="1"/>
  <c r="S25" i="5" a="1"/>
  <c r="S25" i="5" s="1"/>
  <c r="S24" i="5" a="1"/>
  <c r="S24" i="5" s="1"/>
  <c r="S23" i="5" a="1"/>
  <c r="S23" i="5" s="1"/>
  <c r="S22" i="5" a="1"/>
  <c r="S22" i="5" s="1"/>
  <c r="S21" i="5" a="1"/>
  <c r="S21" i="5" s="1"/>
  <c r="S20" i="5" a="1"/>
  <c r="S20" i="5" s="1"/>
  <c r="S19" i="5" a="1"/>
  <c r="S19" i="5" s="1"/>
  <c r="S18" i="5" a="1"/>
  <c r="S18" i="5" s="1"/>
  <c r="S17" i="5" a="1"/>
  <c r="S17" i="5" s="1"/>
  <c r="S16" i="5" a="1"/>
  <c r="S16" i="5" s="1"/>
  <c r="S15" i="5" a="1"/>
  <c r="S15" i="5" s="1"/>
  <c r="S14" i="5" a="1"/>
  <c r="S14" i="5" s="1"/>
  <c r="S13" i="5" a="1"/>
  <c r="S13" i="5" s="1"/>
  <c r="S12" i="5" a="1"/>
  <c r="S12" i="5" s="1"/>
  <c r="S11" i="5" a="1"/>
  <c r="S11" i="5" s="1"/>
  <c r="S10" i="5" a="1"/>
  <c r="S10" i="5" s="1"/>
  <c r="S9" i="5" a="1"/>
  <c r="S9" i="5" s="1"/>
  <c r="S8" i="5" a="1"/>
  <c r="S8" i="5" s="1"/>
  <c r="S7" i="5" a="1"/>
  <c r="S7" i="5" s="1"/>
  <c r="S6" i="5" a="1"/>
  <c r="S6" i="5" s="1"/>
  <c r="S5" i="5" a="1"/>
  <c r="S5" i="5" s="1"/>
  <c r="G6" i="5" a="1"/>
  <c r="G6" i="5" s="1"/>
  <c r="G7" i="5" a="1"/>
  <c r="G7" i="5" s="1"/>
  <c r="G8" i="5" a="1"/>
  <c r="G8" i="5" s="1"/>
  <c r="G9" i="5" a="1"/>
  <c r="G9" i="5" s="1"/>
  <c r="G10" i="5" a="1"/>
  <c r="G10" i="5" s="1"/>
  <c r="G11" i="5" a="1"/>
  <c r="G11" i="5" s="1"/>
  <c r="G12" i="5" a="1"/>
  <c r="G12" i="5" s="1"/>
  <c r="G13" i="5" a="1"/>
  <c r="G13" i="5" s="1"/>
  <c r="G14" i="5" a="1"/>
  <c r="G14" i="5" s="1"/>
  <c r="G15" i="5" a="1"/>
  <c r="G15" i="5" s="1"/>
  <c r="G16" i="5" a="1"/>
  <c r="G16" i="5" s="1"/>
  <c r="G17" i="5" a="1"/>
  <c r="G17" i="5" s="1"/>
  <c r="G18" i="5" a="1"/>
  <c r="G18" i="5" s="1"/>
  <c r="G19" i="5" a="1"/>
  <c r="G19" i="5" s="1"/>
  <c r="G20" i="5" a="1"/>
  <c r="G20" i="5" s="1"/>
  <c r="G21" i="5" a="1"/>
  <c r="G21" i="5" s="1"/>
  <c r="G22" i="5" a="1"/>
  <c r="G22" i="5" s="1"/>
  <c r="G23" i="5" a="1"/>
  <c r="G23" i="5" s="1"/>
  <c r="G24" i="5" a="1"/>
  <c r="G24" i="5" s="1"/>
  <c r="G25" i="5" a="1"/>
  <c r="G25" i="5" s="1"/>
  <c r="G26" i="5" a="1"/>
  <c r="G26" i="5" s="1"/>
  <c r="G27" i="5" a="1"/>
  <c r="G27" i="5" s="1"/>
  <c r="G28" i="5" a="1"/>
  <c r="G28" i="5" s="1"/>
  <c r="G29" i="5" a="1"/>
  <c r="G29" i="5" s="1"/>
  <c r="G30" i="5" a="1"/>
  <c r="G30" i="5" s="1"/>
  <c r="G31" i="5" a="1"/>
  <c r="G31" i="5" s="1"/>
  <c r="G5" i="5" a="1"/>
  <c r="G5" i="5" s="1"/>
  <c r="G39" i="2"/>
  <c r="M39" i="2"/>
  <c r="S39" i="2"/>
  <c r="AE39" i="2"/>
  <c r="AK39" i="2"/>
  <c r="AL39" i="2"/>
  <c r="AQ39" i="2"/>
  <c r="AR39" i="2"/>
  <c r="G40" i="2"/>
  <c r="M40" i="2"/>
  <c r="S40" i="2"/>
  <c r="AE40" i="2"/>
  <c r="AF40" i="2" s="1"/>
  <c r="AK40" i="2"/>
  <c r="AL40" i="2"/>
  <c r="AQ40" i="2"/>
  <c r="AR40" i="2"/>
  <c r="G41" i="2"/>
  <c r="M41" i="2"/>
  <c r="S41" i="2"/>
  <c r="AE41" i="2"/>
  <c r="AK41" i="2"/>
  <c r="AL41" i="2"/>
  <c r="AQ41" i="2"/>
  <c r="AR41" i="2"/>
  <c r="G42" i="2"/>
  <c r="M42" i="2"/>
  <c r="S42" i="2"/>
  <c r="AE42" i="2"/>
  <c r="AK42" i="2"/>
  <c r="AL42" i="2"/>
  <c r="AQ42" i="2"/>
  <c r="AR42" i="2"/>
  <c r="G43" i="2"/>
  <c r="M43" i="2"/>
  <c r="S43" i="2"/>
  <c r="AL31" i="5"/>
  <c r="AR31" i="5"/>
  <c r="AQ11" i="9"/>
  <c r="AP11" i="9"/>
  <c r="AR11" i="9" s="1"/>
  <c r="AQ10" i="9"/>
  <c r="AP10" i="9"/>
  <c r="AR10" i="9" s="1"/>
  <c r="AQ9" i="9"/>
  <c r="AP9" i="9"/>
  <c r="AR9" i="9" s="1"/>
  <c r="AQ8" i="9"/>
  <c r="AP8" i="9"/>
  <c r="AR8" i="9" s="1"/>
  <c r="AQ7" i="9"/>
  <c r="AP7" i="9"/>
  <c r="AR7" i="9" s="1"/>
  <c r="AQ6" i="9"/>
  <c r="AP6" i="9"/>
  <c r="AQ5" i="9"/>
  <c r="AP5" i="9"/>
  <c r="AK11" i="9"/>
  <c r="AJ11" i="9"/>
  <c r="AL11" i="9" s="1"/>
  <c r="AK10" i="9"/>
  <c r="AJ10" i="9"/>
  <c r="AL10" i="9" s="1"/>
  <c r="AK9" i="9"/>
  <c r="AJ9" i="9"/>
  <c r="AL9" i="9" s="1"/>
  <c r="AK8" i="9"/>
  <c r="AJ8" i="9"/>
  <c r="AL8" i="9" s="1"/>
  <c r="AK7" i="9"/>
  <c r="AJ7" i="9"/>
  <c r="AL7" i="9" s="1"/>
  <c r="AK6" i="9"/>
  <c r="AJ6" i="9"/>
  <c r="AL6" i="9" s="1"/>
  <c r="AK5" i="9"/>
  <c r="AJ5" i="9"/>
  <c r="AE11" i="9"/>
  <c r="AD11" i="9"/>
  <c r="AF11" i="9" s="1"/>
  <c r="AE10" i="9"/>
  <c r="AD10" i="9"/>
  <c r="AE9" i="9"/>
  <c r="AD9" i="9"/>
  <c r="AF9" i="9" s="1"/>
  <c r="AE8" i="9"/>
  <c r="AD8" i="9"/>
  <c r="AF8" i="9" s="1"/>
  <c r="AE7" i="9"/>
  <c r="AD7" i="9"/>
  <c r="AF7" i="9" s="1"/>
  <c r="AE6" i="9"/>
  <c r="AD6" i="9"/>
  <c r="AE5" i="9"/>
  <c r="AD5" i="9"/>
  <c r="S11" i="9"/>
  <c r="R11" i="9"/>
  <c r="S10" i="9"/>
  <c r="R10" i="9"/>
  <c r="S9" i="9"/>
  <c r="R9" i="9"/>
  <c r="S8" i="9"/>
  <c r="R8" i="9"/>
  <c r="S7" i="9"/>
  <c r="R7" i="9"/>
  <c r="S6" i="9"/>
  <c r="R6" i="9"/>
  <c r="S5" i="9"/>
  <c r="R5" i="9"/>
  <c r="M11" i="9"/>
  <c r="L11" i="9"/>
  <c r="N11" i="9" s="1"/>
  <c r="M10" i="9"/>
  <c r="L10" i="9"/>
  <c r="M9" i="9"/>
  <c r="L9" i="9"/>
  <c r="M8" i="9"/>
  <c r="L8" i="9"/>
  <c r="M7" i="9"/>
  <c r="L7" i="9"/>
  <c r="N7" i="9" s="1"/>
  <c r="M6" i="9"/>
  <c r="L6" i="9"/>
  <c r="N6" i="9" s="1"/>
  <c r="M5" i="9"/>
  <c r="L5" i="9"/>
  <c r="F6" i="9"/>
  <c r="F7" i="9"/>
  <c r="H7" i="9" s="1"/>
  <c r="F8" i="9"/>
  <c r="F9" i="9"/>
  <c r="F10" i="9"/>
  <c r="F11" i="9"/>
  <c r="G11" i="9"/>
  <c r="G10" i="9"/>
  <c r="G9" i="9"/>
  <c r="G8" i="9"/>
  <c r="G7" i="9"/>
  <c r="G6" i="9"/>
  <c r="G5" i="9"/>
  <c r="F5" i="9"/>
  <c r="AT45" i="2"/>
  <c r="AU45" i="2"/>
  <c r="AT46" i="2"/>
  <c r="AU46" i="2"/>
  <c r="AT47" i="2"/>
  <c r="AU47" i="2"/>
  <c r="AT48" i="2"/>
  <c r="AU48" i="2"/>
  <c r="AT49" i="2"/>
  <c r="AU49" i="2"/>
  <c r="AT50" i="2"/>
  <c r="AU50" i="2"/>
  <c r="AT51" i="2"/>
  <c r="AU51" i="2"/>
  <c r="AT52" i="2"/>
  <c r="AU52" i="2"/>
  <c r="AT53" i="2"/>
  <c r="AU53" i="2"/>
  <c r="AT54" i="2"/>
  <c r="AU54" i="2"/>
  <c r="AT55" i="2"/>
  <c r="AU55" i="2"/>
  <c r="AT32" i="5"/>
  <c r="AU32" i="5"/>
  <c r="AT33" i="5"/>
  <c r="AU33" i="5"/>
  <c r="AT34" i="5"/>
  <c r="AU34" i="5"/>
  <c r="AT35" i="5"/>
  <c r="AU35" i="5"/>
  <c r="AT36" i="5"/>
  <c r="AU36" i="5"/>
  <c r="AT37" i="5"/>
  <c r="AU37" i="5"/>
  <c r="AT38" i="5"/>
  <c r="AU38" i="5"/>
  <c r="AT39" i="5"/>
  <c r="AU39" i="5"/>
  <c r="AT40" i="5"/>
  <c r="AU40" i="5"/>
  <c r="AT41" i="5"/>
  <c r="AU41" i="5"/>
  <c r="AT42" i="5"/>
  <c r="AU42" i="5"/>
  <c r="AT43" i="5"/>
  <c r="AU43" i="5"/>
  <c r="AT44" i="5"/>
  <c r="AU44" i="5"/>
  <c r="AT45" i="5"/>
  <c r="AU45" i="5"/>
  <c r="AT46" i="5"/>
  <c r="AU46" i="5"/>
  <c r="AT47" i="5"/>
  <c r="AU47" i="5"/>
  <c r="AT48" i="5"/>
  <c r="AU48" i="5"/>
  <c r="AT49" i="5"/>
  <c r="AU49" i="5"/>
  <c r="AT50" i="5"/>
  <c r="AU50" i="5"/>
  <c r="AT51" i="5"/>
  <c r="AU51" i="5"/>
  <c r="AT52" i="5"/>
  <c r="AU52" i="5"/>
  <c r="AT53" i="5"/>
  <c r="AU53" i="5"/>
  <c r="AT54" i="5"/>
  <c r="AU54" i="5"/>
  <c r="AT55" i="5"/>
  <c r="AU55" i="5"/>
  <c r="G8" i="2"/>
  <c r="M8" i="2"/>
  <c r="S8" i="2"/>
  <c r="AE8" i="2"/>
  <c r="AK8" i="2"/>
  <c r="AL8" i="2"/>
  <c r="AQ8" i="2"/>
  <c r="AR8" i="2"/>
  <c r="G9" i="2"/>
  <c r="M9" i="2"/>
  <c r="S9" i="2"/>
  <c r="AE9" i="2"/>
  <c r="AK9" i="2"/>
  <c r="AL9" i="2"/>
  <c r="AQ9" i="2"/>
  <c r="AR9" i="2"/>
  <c r="G10" i="2"/>
  <c r="M10" i="2"/>
  <c r="S10" i="2"/>
  <c r="AE10" i="2"/>
  <c r="AK10" i="2"/>
  <c r="AL10" i="2"/>
  <c r="AQ10" i="2"/>
  <c r="AR10" i="2"/>
  <c r="G11" i="2"/>
  <c r="M11" i="2"/>
  <c r="S11" i="2"/>
  <c r="AE11" i="2"/>
  <c r="AK11" i="2"/>
  <c r="AL11" i="2"/>
  <c r="AQ11" i="2"/>
  <c r="AR11" i="2"/>
  <c r="G12" i="2"/>
  <c r="M12" i="2"/>
  <c r="S12" i="2"/>
  <c r="AE12" i="2"/>
  <c r="AK12" i="2"/>
  <c r="AL12" i="2"/>
  <c r="AQ12" i="2"/>
  <c r="AR12" i="2"/>
  <c r="G13" i="2"/>
  <c r="M13" i="2"/>
  <c r="S13" i="2"/>
  <c r="AE13" i="2"/>
  <c r="AK13" i="2"/>
  <c r="AL13" i="2"/>
  <c r="AQ13" i="2"/>
  <c r="AR13" i="2"/>
  <c r="G14" i="2"/>
  <c r="M14" i="2"/>
  <c r="S14" i="2"/>
  <c r="AE14" i="2"/>
  <c r="AK14" i="2"/>
  <c r="AL14" i="2"/>
  <c r="AQ14" i="2"/>
  <c r="AR14" i="2"/>
  <c r="G15" i="2"/>
  <c r="M15" i="2"/>
  <c r="S15" i="2"/>
  <c r="AE15" i="2"/>
  <c r="AK15" i="2"/>
  <c r="AL15" i="2"/>
  <c r="AQ15" i="2"/>
  <c r="AR15" i="2"/>
  <c r="G16" i="2"/>
  <c r="M16" i="2"/>
  <c r="S16" i="2"/>
  <c r="AE16" i="2"/>
  <c r="AF16" i="2" s="1"/>
  <c r="AK16" i="2"/>
  <c r="AL16" i="2"/>
  <c r="AQ16" i="2"/>
  <c r="AR16" i="2"/>
  <c r="G17" i="2"/>
  <c r="M17" i="2"/>
  <c r="S17" i="2"/>
  <c r="AE17" i="2"/>
  <c r="AK17" i="2"/>
  <c r="AL17" i="2"/>
  <c r="AQ17" i="2"/>
  <c r="AR17" i="2"/>
  <c r="G18" i="2"/>
  <c r="M18" i="2"/>
  <c r="S18" i="2"/>
  <c r="AE18" i="2"/>
  <c r="AK18" i="2"/>
  <c r="AL18" i="2"/>
  <c r="AQ18" i="2"/>
  <c r="AR18" i="2"/>
  <c r="G19" i="2"/>
  <c r="M19" i="2"/>
  <c r="S19" i="2"/>
  <c r="AE19" i="2"/>
  <c r="AK19" i="2"/>
  <c r="AL19" i="2"/>
  <c r="AQ19" i="2"/>
  <c r="AR19" i="2"/>
  <c r="G20" i="2"/>
  <c r="M20" i="2"/>
  <c r="S20" i="2"/>
  <c r="AE20" i="2"/>
  <c r="AK20" i="2"/>
  <c r="AL20" i="2"/>
  <c r="AQ20" i="2"/>
  <c r="AR20" i="2"/>
  <c r="G21" i="2"/>
  <c r="M21" i="2"/>
  <c r="S21" i="2"/>
  <c r="AE21" i="2"/>
  <c r="AK21" i="2"/>
  <c r="AL21" i="2"/>
  <c r="AQ21" i="2"/>
  <c r="AR21" i="2"/>
  <c r="G22" i="2"/>
  <c r="M22" i="2"/>
  <c r="S22" i="2"/>
  <c r="AE22" i="2"/>
  <c r="AK22" i="2"/>
  <c r="AL22" i="2"/>
  <c r="AQ22" i="2"/>
  <c r="AR22" i="2"/>
  <c r="G23" i="2"/>
  <c r="M23" i="2"/>
  <c r="S23" i="2"/>
  <c r="AE23" i="2"/>
  <c r="AK23" i="2"/>
  <c r="AL23" i="2"/>
  <c r="AQ23" i="2"/>
  <c r="AR23" i="2"/>
  <c r="G24" i="2"/>
  <c r="M24" i="2"/>
  <c r="S24" i="2"/>
  <c r="AE24" i="2"/>
  <c r="AF24" i="2" s="1"/>
  <c r="AK24" i="2"/>
  <c r="AL24" i="2"/>
  <c r="AQ24" i="2"/>
  <c r="AR24" i="2"/>
  <c r="G25" i="2"/>
  <c r="M25" i="2"/>
  <c r="S25" i="2"/>
  <c r="AE25" i="2"/>
  <c r="AK25" i="2"/>
  <c r="AL25" i="2"/>
  <c r="AQ25" i="2"/>
  <c r="AR25" i="2"/>
  <c r="G26" i="2"/>
  <c r="M26" i="2"/>
  <c r="S26" i="2"/>
  <c r="AE26" i="2"/>
  <c r="AK26" i="2"/>
  <c r="AL26" i="2"/>
  <c r="AQ26" i="2"/>
  <c r="AR26" i="2"/>
  <c r="G27" i="2"/>
  <c r="M27" i="2"/>
  <c r="S27" i="2"/>
  <c r="AE27" i="2"/>
  <c r="AK27" i="2"/>
  <c r="AL27" i="2"/>
  <c r="AQ27" i="2"/>
  <c r="AR27" i="2"/>
  <c r="G28" i="2"/>
  <c r="M28" i="2"/>
  <c r="S28" i="2"/>
  <c r="AE28" i="2"/>
  <c r="AK28" i="2"/>
  <c r="AL28" i="2"/>
  <c r="AQ28" i="2"/>
  <c r="AR28" i="2"/>
  <c r="G29" i="2"/>
  <c r="M29" i="2"/>
  <c r="S29" i="2"/>
  <c r="AE29" i="2"/>
  <c r="AK29" i="2"/>
  <c r="AL29" i="2"/>
  <c r="AQ29" i="2"/>
  <c r="AR29" i="2"/>
  <c r="G30" i="2"/>
  <c r="M30" i="2"/>
  <c r="S30" i="2"/>
  <c r="AE30" i="2"/>
  <c r="AK30" i="2"/>
  <c r="AL30" i="2"/>
  <c r="AQ30" i="2"/>
  <c r="AR30" i="2"/>
  <c r="G31" i="2"/>
  <c r="M31" i="2"/>
  <c r="S31" i="2"/>
  <c r="AE31" i="2"/>
  <c r="AF31" i="2" s="1"/>
  <c r="AK31" i="2"/>
  <c r="AL31" i="2"/>
  <c r="AQ31" i="2"/>
  <c r="AR31" i="2"/>
  <c r="G32" i="2"/>
  <c r="M32" i="2"/>
  <c r="S32" i="2"/>
  <c r="AE32" i="2"/>
  <c r="AF32" i="2" s="1"/>
  <c r="AK32" i="2"/>
  <c r="AL32" i="2"/>
  <c r="AQ32" i="2"/>
  <c r="AR32" i="2"/>
  <c r="G33" i="2"/>
  <c r="M33" i="2"/>
  <c r="S33" i="2"/>
  <c r="AE33" i="2"/>
  <c r="AK33" i="2"/>
  <c r="AL33" i="2"/>
  <c r="AQ33" i="2"/>
  <c r="AR33" i="2"/>
  <c r="G34" i="2"/>
  <c r="M34" i="2"/>
  <c r="S34" i="2"/>
  <c r="AE34" i="2"/>
  <c r="AK34" i="2"/>
  <c r="AL34" i="2"/>
  <c r="AQ34" i="2"/>
  <c r="AR34" i="2"/>
  <c r="G35" i="2"/>
  <c r="M35" i="2"/>
  <c r="S35" i="2"/>
  <c r="AE35" i="2"/>
  <c r="AK35" i="2"/>
  <c r="AL35" i="2"/>
  <c r="AQ35" i="2"/>
  <c r="AR35" i="2"/>
  <c r="G36" i="2"/>
  <c r="M36" i="2"/>
  <c r="S36" i="2"/>
  <c r="AE36" i="2"/>
  <c r="AK36" i="2"/>
  <c r="AL36" i="2"/>
  <c r="AQ36" i="2"/>
  <c r="AR36" i="2"/>
  <c r="G37" i="2"/>
  <c r="M37" i="2"/>
  <c r="S37" i="2"/>
  <c r="AE37" i="2"/>
  <c r="AK37" i="2"/>
  <c r="AL37" i="2"/>
  <c r="AQ37" i="2"/>
  <c r="AR37" i="2"/>
  <c r="G38" i="2"/>
  <c r="M38" i="2"/>
  <c r="S38" i="2"/>
  <c r="AE38" i="2"/>
  <c r="AK38" i="2"/>
  <c r="AL38" i="2"/>
  <c r="AQ38" i="2"/>
  <c r="AR38" i="2"/>
  <c r="AR13" i="5"/>
  <c r="AR14" i="5"/>
  <c r="AR15" i="5"/>
  <c r="AR16" i="5"/>
  <c r="AR17" i="5"/>
  <c r="AR18" i="5"/>
  <c r="AR19" i="5"/>
  <c r="AR20" i="5"/>
  <c r="AR21" i="5"/>
  <c r="AR22" i="5"/>
  <c r="AR23" i="5"/>
  <c r="AR24" i="5"/>
  <c r="AR25" i="5"/>
  <c r="AR26" i="5"/>
  <c r="AR27" i="5"/>
  <c r="AR28" i="5"/>
  <c r="AR29" i="5"/>
  <c r="AR30" i="5"/>
  <c r="AL13" i="5"/>
  <c r="AL14" i="5"/>
  <c r="AL15" i="5"/>
  <c r="AL16" i="5"/>
  <c r="AL17" i="5"/>
  <c r="AL18" i="5"/>
  <c r="AL21" i="5"/>
  <c r="AL22" i="5"/>
  <c r="AL25" i="5"/>
  <c r="AL27" i="5"/>
  <c r="AF5" i="5" l="1"/>
  <c r="AF9" i="5"/>
  <c r="AF8" i="5"/>
  <c r="AF12" i="5"/>
  <c r="AF16" i="5"/>
  <c r="AF20" i="5"/>
  <c r="AF24" i="5"/>
  <c r="AF10" i="9"/>
  <c r="AT5" i="9"/>
  <c r="AF39" i="2"/>
  <c r="AF44" i="2"/>
  <c r="AF41" i="2"/>
  <c r="AF33" i="2"/>
  <c r="AF17" i="2"/>
  <c r="AF9" i="2"/>
  <c r="AF25" i="2"/>
  <c r="AF14" i="2"/>
  <c r="AF8" i="2"/>
  <c r="AF43" i="2"/>
  <c r="AF11" i="2"/>
  <c r="AF13" i="2"/>
  <c r="AF27" i="2"/>
  <c r="AF35" i="2"/>
  <c r="AF18" i="2"/>
  <c r="AF42" i="2"/>
  <c r="AF10" i="2"/>
  <c r="AF34" i="2"/>
  <c r="AF26" i="2"/>
  <c r="AF12" i="2"/>
  <c r="AF28" i="2"/>
  <c r="AF36" i="2"/>
  <c r="AF30" i="2"/>
  <c r="AF23" i="2"/>
  <c r="AF20" i="2"/>
  <c r="AF21" i="2"/>
  <c r="AF29" i="2"/>
  <c r="AF37" i="2"/>
  <c r="AF22" i="2"/>
  <c r="AF38" i="2"/>
  <c r="AF15" i="2"/>
  <c r="AF19" i="2"/>
  <c r="AF21" i="5"/>
  <c r="AF25" i="5"/>
  <c r="AF18" i="5"/>
  <c r="AF30" i="5"/>
  <c r="AF28" i="5"/>
  <c r="AF6" i="5"/>
  <c r="AF11" i="5"/>
  <c r="AF19" i="5"/>
  <c r="AF27" i="5"/>
  <c r="AF31" i="5"/>
  <c r="AF14" i="5"/>
  <c r="AF26" i="5"/>
  <c r="AF29" i="5"/>
  <c r="AF23" i="5"/>
  <c r="AF7" i="5"/>
  <c r="AF22" i="5"/>
  <c r="AF15" i="5"/>
  <c r="AF10" i="5"/>
  <c r="AF13" i="5"/>
  <c r="AF17" i="5"/>
  <c r="H44" i="2"/>
  <c r="N44" i="2"/>
  <c r="T44" i="2"/>
  <c r="AT17" i="5"/>
  <c r="AT27" i="5"/>
  <c r="AT8" i="5"/>
  <c r="Z8" i="9"/>
  <c r="Z9" i="9"/>
  <c r="AT7" i="9"/>
  <c r="Z5" i="9"/>
  <c r="AD4" i="10" s="1" a="1"/>
  <c r="Z6" i="9"/>
  <c r="AT8" i="9"/>
  <c r="Z7" i="9"/>
  <c r="T10" i="9"/>
  <c r="T9" i="9"/>
  <c r="T6" i="9"/>
  <c r="T11" i="9"/>
  <c r="AT10" i="9"/>
  <c r="AT6" i="9"/>
  <c r="T7" i="9"/>
  <c r="AT11" i="9"/>
  <c r="T8" i="9"/>
  <c r="AT9" i="9"/>
  <c r="H6" i="9"/>
  <c r="AT44" i="2"/>
  <c r="Z6" i="2"/>
  <c r="Z9" i="2"/>
  <c r="Z14" i="2"/>
  <c r="Z24" i="2"/>
  <c r="Z34" i="2"/>
  <c r="AT43" i="2"/>
  <c r="AT13" i="2"/>
  <c r="Z16" i="2"/>
  <c r="Z12" i="2"/>
  <c r="Z17" i="2"/>
  <c r="Z22" i="2"/>
  <c r="Z25" i="2"/>
  <c r="Z30" i="2"/>
  <c r="Z35" i="2"/>
  <c r="Z40" i="2"/>
  <c r="Z32" i="2"/>
  <c r="Z18" i="2"/>
  <c r="Z23" i="2"/>
  <c r="Z28" i="2"/>
  <c r="Z20" i="2"/>
  <c r="Z11" i="2"/>
  <c r="Z7" i="2"/>
  <c r="Z27" i="2"/>
  <c r="Z36" i="2"/>
  <c r="Z21" i="2"/>
  <c r="Z37" i="2"/>
  <c r="Z42" i="2"/>
  <c r="Z44" i="2"/>
  <c r="Z19" i="2"/>
  <c r="Z5" i="2"/>
  <c r="Z10" i="2"/>
  <c r="Z15" i="2"/>
  <c r="Z29" i="2"/>
  <c r="Z38" i="2"/>
  <c r="Z43" i="2"/>
  <c r="Z33" i="2"/>
  <c r="Z41" i="2"/>
  <c r="Z31" i="2"/>
  <c r="Z8" i="2"/>
  <c r="AT23" i="2"/>
  <c r="Z13" i="2"/>
  <c r="Z26" i="2"/>
  <c r="Z39" i="2"/>
  <c r="AT5" i="2"/>
  <c r="AT6" i="2"/>
  <c r="AT7" i="2"/>
  <c r="AT17" i="2"/>
  <c r="AT27" i="2"/>
  <c r="AT37" i="2"/>
  <c r="AT14" i="2"/>
  <c r="AT25" i="2"/>
  <c r="AT26" i="2"/>
  <c r="AT8" i="2"/>
  <c r="AT38" i="2"/>
  <c r="AT34" i="2"/>
  <c r="AT15" i="2"/>
  <c r="AT35" i="2"/>
  <c r="AT16" i="2"/>
  <c r="AT9" i="2"/>
  <c r="AT19" i="2"/>
  <c r="AT39" i="2"/>
  <c r="AT10" i="2"/>
  <c r="AT20" i="2"/>
  <c r="AT30" i="2"/>
  <c r="AT40" i="2"/>
  <c r="AT11" i="2"/>
  <c r="AT21" i="2"/>
  <c r="AT31" i="2"/>
  <c r="AT41" i="2"/>
  <c r="AT24" i="2"/>
  <c r="AT36" i="2"/>
  <c r="AT12" i="2"/>
  <c r="AT22" i="2"/>
  <c r="AT32" i="2"/>
  <c r="AT42" i="2"/>
  <c r="T20" i="2"/>
  <c r="T30" i="2"/>
  <c r="T22" i="2"/>
  <c r="T42" i="2"/>
  <c r="T32" i="2"/>
  <c r="T12" i="2"/>
  <c r="T11" i="2"/>
  <c r="T43" i="2"/>
  <c r="T18" i="2"/>
  <c r="T40" i="2"/>
  <c r="T28" i="2"/>
  <c r="T10" i="2"/>
  <c r="T9" i="2"/>
  <c r="T8" i="2"/>
  <c r="T29" i="2"/>
  <c r="AT18" i="2"/>
  <c r="AT29" i="2"/>
  <c r="T38" i="2"/>
  <c r="T37" i="2"/>
  <c r="AT28" i="2"/>
  <c r="T21" i="2"/>
  <c r="T19" i="2"/>
  <c r="T17" i="2"/>
  <c r="T33" i="2"/>
  <c r="T41" i="2"/>
  <c r="T39" i="2"/>
  <c r="T31" i="2"/>
  <c r="T27" i="2"/>
  <c r="T26" i="2"/>
  <c r="T24" i="2"/>
  <c r="T23" i="2"/>
  <c r="T16" i="2"/>
  <c r="T14" i="2"/>
  <c r="T13" i="2"/>
  <c r="AT33" i="2"/>
  <c r="T36" i="2"/>
  <c r="T35" i="2"/>
  <c r="T34" i="2"/>
  <c r="T25" i="2"/>
  <c r="T15" i="2"/>
  <c r="N15" i="2"/>
  <c r="Z9" i="5"/>
  <c r="Z5" i="5"/>
  <c r="Z14" i="5"/>
  <c r="Z11" i="5"/>
  <c r="Z26" i="5"/>
  <c r="Z31" i="5"/>
  <c r="Z15" i="5"/>
  <c r="Z20" i="5"/>
  <c r="Z25" i="5"/>
  <c r="Z30" i="5"/>
  <c r="Z16" i="5"/>
  <c r="Z21" i="5"/>
  <c r="AT14" i="5"/>
  <c r="Z7" i="5"/>
  <c r="Z12" i="5"/>
  <c r="Z17" i="5"/>
  <c r="Z27" i="5"/>
  <c r="AT25" i="5"/>
  <c r="AT5" i="5"/>
  <c r="AT15" i="5"/>
  <c r="AT16" i="5"/>
  <c r="Z13" i="5"/>
  <c r="Z18" i="5"/>
  <c r="Z23" i="5"/>
  <c r="Z28" i="5"/>
  <c r="AT6" i="5"/>
  <c r="Z29" i="5"/>
  <c r="AT28" i="5"/>
  <c r="Z8" i="5"/>
  <c r="AT19" i="5"/>
  <c r="AT30" i="5"/>
  <c r="Z22" i="5"/>
  <c r="AT21" i="5"/>
  <c r="AT12" i="5"/>
  <c r="Z10" i="5"/>
  <c r="AT24" i="5"/>
  <c r="Z6" i="5"/>
  <c r="Z19" i="5"/>
  <c r="Z24" i="5"/>
  <c r="AT26" i="5"/>
  <c r="AT7" i="5"/>
  <c r="AT18" i="5"/>
  <c r="AT9" i="5"/>
  <c r="AT29" i="5"/>
  <c r="AT10" i="5"/>
  <c r="AT20" i="5"/>
  <c r="AT11" i="5"/>
  <c r="AT13" i="5"/>
  <c r="AT23" i="5"/>
  <c r="T19" i="5"/>
  <c r="T29" i="5"/>
  <c r="T13" i="5"/>
  <c r="T23" i="5"/>
  <c r="T15" i="5"/>
  <c r="T25" i="5"/>
  <c r="T16" i="5"/>
  <c r="T31" i="5"/>
  <c r="T22" i="5"/>
  <c r="T18" i="5"/>
  <c r="T28" i="5"/>
  <c r="T26" i="5"/>
  <c r="AT31" i="5"/>
  <c r="T21" i="5"/>
  <c r="T24" i="5"/>
  <c r="T14" i="5"/>
  <c r="T27" i="5"/>
  <c r="T17" i="5"/>
  <c r="T30" i="5"/>
  <c r="T20" i="5"/>
  <c r="AT22" i="5"/>
  <c r="N8" i="9"/>
  <c r="N10" i="9"/>
  <c r="N8" i="2"/>
  <c r="N43" i="2"/>
  <c r="N33" i="2"/>
  <c r="N23" i="2"/>
  <c r="N34" i="2"/>
  <c r="N11" i="2"/>
  <c r="N36" i="2"/>
  <c r="N37" i="2"/>
  <c r="N10" i="2"/>
  <c r="N42" i="2"/>
  <c r="N40" i="2"/>
  <c r="N41" i="2"/>
  <c r="N26" i="2"/>
  <c r="N12" i="2"/>
  <c r="N9" i="2"/>
  <c r="N39" i="2"/>
  <c r="N15" i="5"/>
  <c r="N23" i="5"/>
  <c r="N28" i="5"/>
  <c r="N29" i="5"/>
  <c r="N19" i="5"/>
  <c r="N31" i="5"/>
  <c r="H42" i="2"/>
  <c r="H8" i="9"/>
  <c r="H40" i="2"/>
  <c r="H31" i="5"/>
  <c r="H41" i="2"/>
  <c r="H39" i="2"/>
  <c r="H43" i="2"/>
  <c r="H18" i="2"/>
  <c r="H24" i="2"/>
  <c r="H16" i="2"/>
  <c r="H33" i="2"/>
  <c r="H31" i="2"/>
  <c r="H38" i="2"/>
  <c r="H13" i="2"/>
  <c r="H34" i="2"/>
  <c r="H26" i="2"/>
  <c r="H36" i="2"/>
  <c r="H28" i="2"/>
  <c r="H9" i="2"/>
  <c r="H11" i="2"/>
  <c r="H13" i="5"/>
  <c r="H11" i="9"/>
  <c r="H10" i="9"/>
  <c r="H9" i="9"/>
  <c r="AF5" i="9"/>
  <c r="AL4" i="10" s="1" a="1"/>
  <c r="AL4" i="10" s="1"/>
  <c r="N5" i="9"/>
  <c r="AR5" i="9"/>
  <c r="T5" i="9"/>
  <c r="AR6" i="9"/>
  <c r="N9" i="9"/>
  <c r="AF6" i="9"/>
  <c r="AL5" i="9"/>
  <c r="AT4" i="10" s="1" a="1"/>
  <c r="AT4" i="10" s="1"/>
  <c r="H5" i="9"/>
  <c r="H24" i="5"/>
  <c r="H27" i="5"/>
  <c r="H17" i="5"/>
  <c r="H23" i="5"/>
  <c r="H16" i="5"/>
  <c r="N30" i="2"/>
  <c r="N29" i="2"/>
  <c r="N32" i="2"/>
  <c r="N16" i="2"/>
  <c r="N13" i="2"/>
  <c r="N19" i="2"/>
  <c r="N20" i="2"/>
  <c r="N31" i="2"/>
  <c r="N22" i="2"/>
  <c r="N25" i="2"/>
  <c r="N17" i="2"/>
  <c r="N28" i="2"/>
  <c r="N38" i="2"/>
  <c r="N14" i="2"/>
  <c r="N18" i="2"/>
  <c r="N27" i="2"/>
  <c r="N21" i="2"/>
  <c r="N24" i="2"/>
  <c r="N35" i="2"/>
  <c r="H21" i="2"/>
  <c r="H29" i="2"/>
  <c r="H35" i="2"/>
  <c r="H25" i="2"/>
  <c r="H14" i="2"/>
  <c r="H10" i="2"/>
  <c r="H19" i="2"/>
  <c r="H27" i="2"/>
  <c r="H23" i="2"/>
  <c r="H8" i="2"/>
  <c r="H32" i="2"/>
  <c r="H15" i="2"/>
  <c r="H20" i="2"/>
  <c r="H37" i="2"/>
  <c r="H12" i="2"/>
  <c r="H30" i="2"/>
  <c r="H17" i="2"/>
  <c r="H22" i="2"/>
  <c r="N17" i="5"/>
  <c r="N21" i="5"/>
  <c r="N25" i="5"/>
  <c r="N14" i="5"/>
  <c r="N13" i="5"/>
  <c r="N26" i="5"/>
  <c r="N18" i="5"/>
  <c r="N27" i="5"/>
  <c r="N22" i="5"/>
  <c r="N30" i="5"/>
  <c r="N24" i="5"/>
  <c r="N20" i="5"/>
  <c r="N16" i="5"/>
  <c r="H15" i="5"/>
  <c r="H19" i="5"/>
  <c r="H14" i="5"/>
  <c r="H18" i="5"/>
  <c r="H26" i="5"/>
  <c r="H20" i="5"/>
  <c r="H30" i="5"/>
  <c r="H21" i="5"/>
  <c r="H22" i="5"/>
  <c r="H12" i="5"/>
  <c r="H28" i="5"/>
  <c r="H29" i="5"/>
  <c r="H25" i="5"/>
  <c r="AL28" i="5"/>
  <c r="AL24" i="5"/>
  <c r="AL23" i="5"/>
  <c r="AL19" i="5"/>
  <c r="AL30" i="5"/>
  <c r="AL20" i="5"/>
  <c r="AL26" i="5"/>
  <c r="AL29" i="5"/>
  <c r="AU40" i="2" l="1"/>
  <c r="AD4" i="10"/>
  <c r="O83" i="12" a="1"/>
  <c r="O83" i="12" s="1"/>
  <c r="AL4" i="6" a="1"/>
  <c r="AU44" i="2"/>
  <c r="AU15" i="2"/>
  <c r="AU20" i="5"/>
  <c r="AU14" i="5"/>
  <c r="AU6" i="9"/>
  <c r="AC5" i="10" a="1"/>
  <c r="AD4" i="4" a="1"/>
  <c r="AU9" i="9"/>
  <c r="AC6" i="10" a="1"/>
  <c r="AU10" i="9"/>
  <c r="AC7" i="10" a="1"/>
  <c r="AD4" i="6" a="1"/>
  <c r="AU14" i="2"/>
  <c r="AC8" i="10" a="1"/>
  <c r="AU8" i="9"/>
  <c r="AC4" i="10" a="1"/>
  <c r="AU19" i="5"/>
  <c r="AC9" i="10" a="1"/>
  <c r="AC10" i="10" a="1"/>
  <c r="AU25" i="2"/>
  <c r="AU26" i="2"/>
  <c r="AU27" i="2"/>
  <c r="AU11" i="9"/>
  <c r="AU7" i="9"/>
  <c r="V4" i="10" a="1"/>
  <c r="AU5" i="9"/>
  <c r="AU24" i="2"/>
  <c r="AU9" i="2"/>
  <c r="AU16" i="2"/>
  <c r="AU34" i="2"/>
  <c r="AU12" i="2"/>
  <c r="AU17" i="2"/>
  <c r="AU22" i="2"/>
  <c r="AU30" i="2"/>
  <c r="AU35" i="2"/>
  <c r="AU32" i="2"/>
  <c r="AU23" i="2"/>
  <c r="AU28" i="2"/>
  <c r="AU18" i="2"/>
  <c r="AU20" i="2"/>
  <c r="AU11" i="2"/>
  <c r="AU36" i="2"/>
  <c r="AU38" i="2"/>
  <c r="AU29" i="2"/>
  <c r="AU13" i="2"/>
  <c r="AU10" i="2"/>
  <c r="AU21" i="2"/>
  <c r="AU43" i="2"/>
  <c r="AU37" i="2"/>
  <c r="AU31" i="2"/>
  <c r="AU19" i="2"/>
  <c r="AU41" i="2"/>
  <c r="AU33" i="2"/>
  <c r="AU8" i="2"/>
  <c r="AU42" i="2"/>
  <c r="AU39" i="2"/>
  <c r="AU31" i="5"/>
  <c r="AU26" i="5"/>
  <c r="AU29" i="5"/>
  <c r="AU21" i="5"/>
  <c r="AU27" i="5"/>
  <c r="AU15" i="5"/>
  <c r="AU16" i="5"/>
  <c r="AU25" i="5"/>
  <c r="AU13" i="5"/>
  <c r="AU24" i="5"/>
  <c r="AU18" i="5"/>
  <c r="AU23" i="5"/>
  <c r="AU30" i="5"/>
  <c r="AU28" i="5"/>
  <c r="AU17" i="5"/>
  <c r="AU22" i="5"/>
  <c r="BB4" i="10" a="1"/>
  <c r="BB4" i="10" s="1"/>
  <c r="F4" i="10" a="1"/>
  <c r="N4" i="10" a="1"/>
  <c r="AR8" i="5"/>
  <c r="AR6" i="5"/>
  <c r="AL12" i="5"/>
  <c r="AL9" i="5"/>
  <c r="AL6" i="5"/>
  <c r="T12" i="5"/>
  <c r="T8" i="5"/>
  <c r="T6" i="5"/>
  <c r="AD4" i="6" l="1"/>
  <c r="O8" i="12" a="1"/>
  <c r="O8" i="12" s="1"/>
  <c r="AC10" i="10"/>
  <c r="N89" i="12" a="1"/>
  <c r="N89" i="12" s="1"/>
  <c r="AC9" i="10"/>
  <c r="N88" i="12" a="1"/>
  <c r="N88" i="12" s="1"/>
  <c r="AC6" i="10"/>
  <c r="N85" i="12" a="1"/>
  <c r="N85" i="12" s="1"/>
  <c r="AL4" i="6"/>
  <c r="AK18" i="6" a="1"/>
  <c r="AK18" i="6" s="1"/>
  <c r="AK21" i="6" a="1"/>
  <c r="AK21" i="6" s="1"/>
  <c r="AK17" i="6" a="1"/>
  <c r="AK17" i="6" s="1"/>
  <c r="AK12" i="6" a="1"/>
  <c r="AK12" i="6" s="1"/>
  <c r="AK30" i="6" a="1"/>
  <c r="AK30" i="6" s="1"/>
  <c r="AK5" i="6" a="1"/>
  <c r="AK5" i="6" s="1"/>
  <c r="AK24" i="6" a="1"/>
  <c r="AK24" i="6" s="1"/>
  <c r="AK4" i="6" a="1"/>
  <c r="AK4" i="6" s="1"/>
  <c r="AK11" i="6" a="1"/>
  <c r="AK11" i="6" s="1"/>
  <c r="AK23" i="6" a="1"/>
  <c r="AK23" i="6" s="1"/>
  <c r="AK16" i="6" a="1"/>
  <c r="AK16" i="6" s="1"/>
  <c r="AK10" i="6" a="1"/>
  <c r="AK10" i="6" s="1"/>
  <c r="AK7" i="6" a="1"/>
  <c r="AK7" i="6" s="1"/>
  <c r="AK9" i="6" a="1"/>
  <c r="AK9" i="6" s="1"/>
  <c r="AK27" i="6" a="1"/>
  <c r="AK27" i="6" s="1"/>
  <c r="AK22" i="6" a="1"/>
  <c r="AK22" i="6" s="1"/>
  <c r="AK28" i="6" a="1"/>
  <c r="AK28" i="6" s="1"/>
  <c r="AK8" i="6" a="1"/>
  <c r="AK8" i="6" s="1"/>
  <c r="AK26" i="6" a="1"/>
  <c r="AK26" i="6" s="1"/>
  <c r="AK14" i="6" a="1"/>
  <c r="AK14" i="6" s="1"/>
  <c r="AK20" i="6" a="1"/>
  <c r="AK20" i="6" s="1"/>
  <c r="AK25" i="6" a="1"/>
  <c r="AK25" i="6" s="1"/>
  <c r="AK6" i="6" a="1"/>
  <c r="AK6" i="6" s="1"/>
  <c r="AK13" i="6" a="1"/>
  <c r="AK13" i="6" s="1"/>
  <c r="AK19" i="6" a="1"/>
  <c r="AK19" i="6" s="1"/>
  <c r="AK15" i="6" a="1"/>
  <c r="AK15" i="6" s="1"/>
  <c r="AK29" i="6" a="1"/>
  <c r="AK29" i="6" s="1"/>
  <c r="AC55" i="10" a="1"/>
  <c r="AC55" i="10" s="1"/>
  <c r="G83" i="12" a="1"/>
  <c r="G83" i="12" s="1"/>
  <c r="AC5" i="10"/>
  <c r="N84" i="12" a="1"/>
  <c r="N84" i="12" s="1"/>
  <c r="AC7" i="10"/>
  <c r="N86" i="12" s="1" a="1"/>
  <c r="N86" i="12" s="1"/>
  <c r="AC4" i="10"/>
  <c r="N83" i="12" a="1"/>
  <c r="N83" i="12" s="1"/>
  <c r="AC8" i="10"/>
  <c r="N87" i="12" a="1"/>
  <c r="N87" i="12" s="1"/>
  <c r="AK6" i="4" a="1"/>
  <c r="AK6" i="4" s="1"/>
  <c r="AK37" i="4" a="1"/>
  <c r="AK37" i="4" s="1"/>
  <c r="AK43" i="4" a="1"/>
  <c r="AK43" i="4" s="1"/>
  <c r="AK39" i="4" a="1"/>
  <c r="AK39" i="4" s="1"/>
  <c r="AK35" i="4" a="1"/>
  <c r="AK35" i="4" s="1"/>
  <c r="AK31" i="4" a="1"/>
  <c r="AK31" i="4" s="1"/>
  <c r="AK27" i="4" a="1"/>
  <c r="AK27" i="4" s="1"/>
  <c r="AK23" i="4" a="1"/>
  <c r="AK23" i="4" s="1"/>
  <c r="AK19" i="4" a="1"/>
  <c r="AK19" i="4" s="1"/>
  <c r="AK15" i="4" a="1"/>
  <c r="AK15" i="4" s="1"/>
  <c r="AK11" i="4" a="1"/>
  <c r="AK11" i="4" s="1"/>
  <c r="AK7" i="4" a="1"/>
  <c r="AK7" i="4" s="1"/>
  <c r="AK4" i="4" a="1"/>
  <c r="AK4" i="4" s="1"/>
  <c r="AK42" i="4" a="1"/>
  <c r="AK42" i="4" s="1"/>
  <c r="AK38" i="4" a="1"/>
  <c r="AK38" i="4" s="1"/>
  <c r="AK34" i="4" a="1"/>
  <c r="AK34" i="4" s="1"/>
  <c r="AK30" i="4" a="1"/>
  <c r="AK30" i="4" s="1"/>
  <c r="AK26" i="4" a="1"/>
  <c r="AK26" i="4" s="1"/>
  <c r="AK22" i="4" a="1"/>
  <c r="AK22" i="4" s="1"/>
  <c r="AK18" i="4" a="1"/>
  <c r="AK18" i="4" s="1"/>
  <c r="AK14" i="4" a="1"/>
  <c r="AK14" i="4" s="1"/>
  <c r="AK21" i="4" a="1"/>
  <c r="AK21" i="4" s="1"/>
  <c r="AK9" i="4" a="1"/>
  <c r="AK9" i="4" s="1"/>
  <c r="AK40" i="4" a="1"/>
  <c r="AK40" i="4" s="1"/>
  <c r="AK12" i="4" a="1"/>
  <c r="AK12" i="4" s="1"/>
  <c r="AK10" i="4" a="1"/>
  <c r="AK10" i="4" s="1"/>
  <c r="AK33" i="4" a="1"/>
  <c r="AK33" i="4" s="1"/>
  <c r="AK29" i="4" a="1"/>
  <c r="AK29" i="4" s="1"/>
  <c r="AK17" i="4" a="1"/>
  <c r="AK17" i="4" s="1"/>
  <c r="AK13" i="4" a="1"/>
  <c r="AK13" i="4" s="1"/>
  <c r="AK5" i="4" a="1"/>
  <c r="AK5" i="4" s="1"/>
  <c r="AK32" i="4" a="1"/>
  <c r="AK32" i="4" s="1"/>
  <c r="AK41" i="4" a="1"/>
  <c r="AK41" i="4" s="1"/>
  <c r="AK28" i="4" a="1"/>
  <c r="AK28" i="4" s="1"/>
  <c r="AK16" i="4" a="1"/>
  <c r="AK16" i="4" s="1"/>
  <c r="AK24" i="4" a="1"/>
  <c r="AK24" i="4" s="1"/>
  <c r="AK25" i="4" a="1"/>
  <c r="AK25" i="4" s="1"/>
  <c r="AK8" i="4" a="1"/>
  <c r="AK8" i="4" s="1"/>
  <c r="AK36" i="4" a="1"/>
  <c r="AK36" i="4" s="1"/>
  <c r="AK20" i="4" a="1"/>
  <c r="AK20" i="4" s="1"/>
  <c r="AD4" i="4"/>
  <c r="O39" i="12" s="1" a="1"/>
  <c r="O39" i="12" s="1"/>
  <c r="AC38" i="4" a="1"/>
  <c r="AC43" i="4" a="1"/>
  <c r="AC35" i="4" a="1"/>
  <c r="AC24" i="4" a="1"/>
  <c r="AC37" i="4" a="1"/>
  <c r="AC26" i="4" a="1"/>
  <c r="AC19" i="4" a="1"/>
  <c r="AC15" i="4" a="1"/>
  <c r="AC29" i="4" a="1"/>
  <c r="AC18" i="4" a="1"/>
  <c r="AC41" i="4" a="1"/>
  <c r="AC6" i="4" a="1"/>
  <c r="AC20" i="4" a="1"/>
  <c r="AC9" i="4" a="1"/>
  <c r="AC33" i="4" a="1"/>
  <c r="AC31" i="4" a="1"/>
  <c r="AC12" i="4" a="1"/>
  <c r="AC42" i="4" a="1"/>
  <c r="AC16" i="4" a="1"/>
  <c r="AC23" i="4" a="1"/>
  <c r="AC36" i="4" a="1"/>
  <c r="AC34" i="4" a="1"/>
  <c r="AC7" i="4" a="1"/>
  <c r="AC5" i="4" a="1"/>
  <c r="AC28" i="4" a="1"/>
  <c r="AC25" i="4" a="1"/>
  <c r="AC21" i="4" a="1"/>
  <c r="AC39" i="4" a="1"/>
  <c r="AC11" i="4" a="1"/>
  <c r="AC17" i="4" a="1"/>
  <c r="AC10" i="4" a="1"/>
  <c r="AC30" i="4" a="1"/>
  <c r="AC13" i="4" a="1"/>
  <c r="AC8" i="4" a="1"/>
  <c r="AC40" i="4" a="1"/>
  <c r="AC22" i="4" a="1"/>
  <c r="AC27" i="4" a="1"/>
  <c r="AC4" i="4" a="1"/>
  <c r="AC32" i="4" a="1"/>
  <c r="AC14" i="4" a="1"/>
  <c r="AC18" i="10" a="1"/>
  <c r="AC18" i="10" s="1"/>
  <c r="AC43" i="10" a="1"/>
  <c r="AC43" i="10" s="1"/>
  <c r="AC20" i="10" a="1"/>
  <c r="AC20" i="10" s="1"/>
  <c r="AC28" i="10" a="1"/>
  <c r="AC28" i="10" s="1"/>
  <c r="AC38" i="10" a="1"/>
  <c r="AC38" i="10" s="1"/>
  <c r="AC34" i="10" a="1"/>
  <c r="AC34" i="10" s="1"/>
  <c r="AC15" i="10" a="1"/>
  <c r="AC15" i="10" s="1"/>
  <c r="AC44" i="10" a="1"/>
  <c r="AC44" i="10" s="1"/>
  <c r="AC46" i="10" a="1"/>
  <c r="AC46" i="10" s="1"/>
  <c r="AC51" i="10" a="1"/>
  <c r="AC51" i="10" s="1"/>
  <c r="AC12" i="10" a="1"/>
  <c r="AC12" i="10" s="1"/>
  <c r="AC33" i="10" a="1"/>
  <c r="AC33" i="10" s="1"/>
  <c r="AC40" i="10" a="1"/>
  <c r="AC40" i="10" s="1"/>
  <c r="AC39" i="10" a="1"/>
  <c r="AC39" i="10" s="1"/>
  <c r="AC14" i="10" a="1"/>
  <c r="AC14" i="10" s="1"/>
  <c r="AC19" i="10" a="1"/>
  <c r="AC19" i="10" s="1"/>
  <c r="AC24" i="10" a="1"/>
  <c r="AC24" i="10" s="1"/>
  <c r="AC30" i="10" a="1"/>
  <c r="AC30" i="10" s="1"/>
  <c r="AC23" i="10" a="1"/>
  <c r="AC23" i="10" s="1"/>
  <c r="AC17" i="10" a="1"/>
  <c r="AC17" i="10" s="1"/>
  <c r="AC11" i="10" a="1"/>
  <c r="AC11" i="10" s="1"/>
  <c r="AC22" i="10" a="1"/>
  <c r="AC22" i="10" s="1"/>
  <c r="AC48" i="10" a="1"/>
  <c r="AC48" i="10" s="1"/>
  <c r="AC45" i="10" a="1"/>
  <c r="AC45" i="10" s="1"/>
  <c r="AC54" i="10" a="1"/>
  <c r="AC54" i="10" s="1"/>
  <c r="AC26" i="10" a="1"/>
  <c r="AC26" i="10" s="1"/>
  <c r="AC31" i="10" a="1"/>
  <c r="AC31" i="10" s="1"/>
  <c r="AC36" i="10" a="1"/>
  <c r="AC36" i="10" s="1"/>
  <c r="AC25" i="10" a="1"/>
  <c r="AC25" i="10" s="1"/>
  <c r="AC29" i="10" a="1"/>
  <c r="AC29" i="10" s="1"/>
  <c r="AC53" i="10" a="1"/>
  <c r="AC53" i="10" s="1"/>
  <c r="AC27" i="10" a="1"/>
  <c r="AC27" i="10" s="1"/>
  <c r="AC16" i="10" a="1"/>
  <c r="AC16" i="10" s="1"/>
  <c r="AC32" i="10" a="1"/>
  <c r="AC32" i="10" s="1"/>
  <c r="AC49" i="10" a="1"/>
  <c r="AC49" i="10" s="1"/>
  <c r="AC50" i="10" a="1"/>
  <c r="AC50" i="10" s="1"/>
  <c r="V4" i="10"/>
  <c r="AC42" i="10" a="1"/>
  <c r="AC42" i="10" s="1"/>
  <c r="AC52" i="10" a="1"/>
  <c r="AC52" i="10" s="1"/>
  <c r="AC41" i="10" a="1"/>
  <c r="AC41" i="10" s="1"/>
  <c r="AC13" i="10" a="1"/>
  <c r="AC13" i="10" s="1"/>
  <c r="AC35" i="10" a="1"/>
  <c r="AC35" i="10" s="1"/>
  <c r="AC37" i="10" a="1"/>
  <c r="AC37" i="10" s="1"/>
  <c r="AC21" i="10" a="1"/>
  <c r="AC21" i="10" s="1"/>
  <c r="AC47" i="10" a="1"/>
  <c r="AC47" i="10" s="1"/>
  <c r="N4" i="10"/>
  <c r="G82" i="11" a="1"/>
  <c r="G82" i="11" s="1"/>
  <c r="F4" i="10"/>
  <c r="G82" i="7" s="1" a="1"/>
  <c r="G82" i="7" s="1"/>
  <c r="H9" i="5"/>
  <c r="H8" i="5"/>
  <c r="AR12" i="5"/>
  <c r="AR11" i="5"/>
  <c r="T11" i="5"/>
  <c r="AL11" i="5"/>
  <c r="T7" i="5"/>
  <c r="N9" i="5"/>
  <c r="AL10" i="5"/>
  <c r="AR10" i="5"/>
  <c r="AR7" i="5"/>
  <c r="H10" i="5"/>
  <c r="N8" i="5"/>
  <c r="AL8" i="5"/>
  <c r="AR9" i="5"/>
  <c r="T5" i="5"/>
  <c r="T10" i="5"/>
  <c r="AL5" i="5"/>
  <c r="AR5" i="5"/>
  <c r="T9" i="5"/>
  <c r="AL7" i="5"/>
  <c r="N5" i="5"/>
  <c r="H6" i="5"/>
  <c r="AU6" i="5" s="1"/>
  <c r="N7" i="5"/>
  <c r="N11" i="5"/>
  <c r="N6" i="5"/>
  <c r="H5" i="5"/>
  <c r="H7" i="5"/>
  <c r="N12" i="5"/>
  <c r="AU12" i="5" s="1"/>
  <c r="N10" i="5"/>
  <c r="H11" i="5"/>
  <c r="AQ7" i="2"/>
  <c r="AQ6" i="2"/>
  <c r="AR6" i="2"/>
  <c r="AQ5" i="2"/>
  <c r="AR5" i="2"/>
  <c r="AK7" i="2"/>
  <c r="AE7" i="2"/>
  <c r="AF7" i="2" s="1"/>
  <c r="AK6" i="2"/>
  <c r="AL6" i="2"/>
  <c r="AE6" i="2"/>
  <c r="AF6" i="2" s="1"/>
  <c r="AK5" i="2"/>
  <c r="AL5" i="2"/>
  <c r="AE5" i="2"/>
  <c r="AF5" i="2" s="1"/>
  <c r="S7" i="2"/>
  <c r="T7" i="2" s="1"/>
  <c r="S6" i="2"/>
  <c r="T6" i="2" s="1"/>
  <c r="S5" i="2"/>
  <c r="T5" i="2" s="1"/>
  <c r="M7" i="2"/>
  <c r="M6" i="2"/>
  <c r="N6" i="2" s="1"/>
  <c r="M5" i="2"/>
  <c r="G6" i="2"/>
  <c r="G7" i="2"/>
  <c r="G5" i="2"/>
  <c r="AL4" i="4" l="1" a="1"/>
  <c r="AL4" i="4" s="1"/>
  <c r="AU8" i="5"/>
  <c r="AU5" i="5"/>
  <c r="AC4" i="4"/>
  <c r="N39" i="12" a="1"/>
  <c r="N39" i="12" s="1"/>
  <c r="AC42" i="4"/>
  <c r="N77" i="12" s="1" a="1"/>
  <c r="N77" i="12" s="1"/>
  <c r="AC15" i="4"/>
  <c r="N50" i="12" a="1"/>
  <c r="N50" i="12" s="1"/>
  <c r="AC27" i="4"/>
  <c r="N62" i="12" s="1" a="1"/>
  <c r="N62" i="12" s="1"/>
  <c r="AC21" i="4"/>
  <c r="N56" i="12" s="1" a="1"/>
  <c r="N56" i="12" s="1"/>
  <c r="AC12" i="4"/>
  <c r="N47" i="12" a="1"/>
  <c r="N47" i="12" s="1"/>
  <c r="AC19" i="4"/>
  <c r="N54" i="12" a="1"/>
  <c r="N54" i="12" s="1"/>
  <c r="AC37" i="4"/>
  <c r="N72" i="12" a="1"/>
  <c r="N72" i="12" s="1"/>
  <c r="AC40" i="4"/>
  <c r="N75" i="12" s="1" a="1"/>
  <c r="N75" i="12" s="1"/>
  <c r="AC5" i="4"/>
  <c r="N40" i="12" s="1" a="1"/>
  <c r="N40" i="12" s="1"/>
  <c r="AC9" i="4"/>
  <c r="N44" i="12" s="1" a="1"/>
  <c r="N44" i="12" s="1"/>
  <c r="AC24" i="4"/>
  <c r="N59" i="12" s="1" a="1"/>
  <c r="N59" i="12" s="1"/>
  <c r="AC22" i="4"/>
  <c r="N57" i="12" s="1" a="1"/>
  <c r="N57" i="12" s="1"/>
  <c r="AC35" i="4"/>
  <c r="N70" i="12" s="1" a="1"/>
  <c r="N70" i="12" s="1"/>
  <c r="AC30" i="4"/>
  <c r="N65" i="12" s="1" a="1"/>
  <c r="N65" i="12" s="1"/>
  <c r="AC34" i="4"/>
  <c r="N69" i="12" s="1" a="1"/>
  <c r="N69" i="12" s="1"/>
  <c r="AC6" i="4"/>
  <c r="N41" i="12" a="1"/>
  <c r="N41" i="12" s="1"/>
  <c r="AC43" i="4"/>
  <c r="N78" i="12" s="1" a="1"/>
  <c r="N78" i="12" s="1"/>
  <c r="AC25" i="4"/>
  <c r="N60" i="12" s="1" a="1"/>
  <c r="N60" i="12" s="1"/>
  <c r="AC26" i="4"/>
  <c r="N61" i="12" s="1" a="1"/>
  <c r="N61" i="12" s="1"/>
  <c r="AC33" i="4"/>
  <c r="N68" i="12" s="1" a="1"/>
  <c r="N68" i="12" s="1"/>
  <c r="AC13" i="4"/>
  <c r="N48" i="12" a="1"/>
  <c r="N48" i="12" s="1"/>
  <c r="AC20" i="4"/>
  <c r="N55" i="12" a="1"/>
  <c r="N55" i="12" s="1"/>
  <c r="AC10" i="4"/>
  <c r="N45" i="12" s="1" a="1"/>
  <c r="N45" i="12" s="1"/>
  <c r="AC36" i="4"/>
  <c r="N71" i="12" s="1" a="1"/>
  <c r="N71" i="12" s="1"/>
  <c r="AC41" i="4"/>
  <c r="N76" i="12" s="1" a="1"/>
  <c r="N76" i="12" s="1"/>
  <c r="AC38" i="4"/>
  <c r="N73" i="12" a="1"/>
  <c r="N73" i="12" s="1"/>
  <c r="AC14" i="4"/>
  <c r="N49" i="12" a="1"/>
  <c r="N49" i="12" s="1"/>
  <c r="AC17" i="4"/>
  <c r="N52" i="12" s="1" a="1"/>
  <c r="N52" i="12" s="1"/>
  <c r="AC23" i="4"/>
  <c r="N58" i="12" s="1" a="1"/>
  <c r="N58" i="12" s="1"/>
  <c r="AC18" i="4"/>
  <c r="N53" i="12" s="1" a="1"/>
  <c r="N53" i="12" s="1"/>
  <c r="AC39" i="4"/>
  <c r="N74" i="12" s="1" a="1"/>
  <c r="N74" i="12" s="1"/>
  <c r="AC31" i="4"/>
  <c r="N66" i="12" a="1"/>
  <c r="N66" i="12" s="1"/>
  <c r="AC28" i="4"/>
  <c r="N63" i="12" a="1"/>
  <c r="N63" i="12" s="1"/>
  <c r="AC8" i="4"/>
  <c r="N43" i="12" s="1" a="1"/>
  <c r="N43" i="12" s="1"/>
  <c r="AC7" i="4"/>
  <c r="N42" i="12" s="1" a="1"/>
  <c r="N42" i="12" s="1"/>
  <c r="AC32" i="4"/>
  <c r="N67" i="12" s="1" a="1"/>
  <c r="N67" i="12" s="1"/>
  <c r="AC11" i="4"/>
  <c r="N46" i="12" s="1" a="1"/>
  <c r="N46" i="12" s="1"/>
  <c r="AC16" i="4"/>
  <c r="N51" i="12" a="1"/>
  <c r="N51" i="12" s="1"/>
  <c r="AC29" i="4"/>
  <c r="N64" i="12" s="1" a="1"/>
  <c r="N64" i="12" s="1"/>
  <c r="AU11" i="5"/>
  <c r="AU9" i="5"/>
  <c r="AU10" i="5"/>
  <c r="AU7" i="5"/>
  <c r="U54" i="10" a="1"/>
  <c r="U54" i="10" s="1"/>
  <c r="U49" i="10" a="1"/>
  <c r="U49" i="10" s="1"/>
  <c r="U44" i="10" a="1"/>
  <c r="U44" i="10" s="1"/>
  <c r="U39" i="10" a="1"/>
  <c r="U39" i="10" s="1"/>
  <c r="U34" i="10" a="1"/>
  <c r="U34" i="10" s="1"/>
  <c r="U29" i="10" a="1"/>
  <c r="U29" i="10" s="1"/>
  <c r="U24" i="10" a="1"/>
  <c r="U24" i="10" s="1"/>
  <c r="U19" i="10" a="1"/>
  <c r="U19" i="10" s="1"/>
  <c r="U14" i="10" a="1"/>
  <c r="U14" i="10" s="1"/>
  <c r="U9" i="10" a="1"/>
  <c r="U51" i="10" a="1"/>
  <c r="U51" i="10" s="1"/>
  <c r="U46" i="10" a="1"/>
  <c r="U46" i="10" s="1"/>
  <c r="U41" i="10" a="1"/>
  <c r="U41" i="10" s="1"/>
  <c r="U36" i="10" a="1"/>
  <c r="U36" i="10" s="1"/>
  <c r="U31" i="10" a="1"/>
  <c r="U31" i="10" s="1"/>
  <c r="U26" i="10" a="1"/>
  <c r="U26" i="10" s="1"/>
  <c r="U21" i="10" a="1"/>
  <c r="U21" i="10" s="1"/>
  <c r="U16" i="10" a="1"/>
  <c r="U16" i="10" s="1"/>
  <c r="U52" i="10" a="1"/>
  <c r="U52" i="10" s="1"/>
  <c r="U47" i="10" a="1"/>
  <c r="U47" i="10" s="1"/>
  <c r="U42" i="10" a="1"/>
  <c r="U42" i="10" s="1"/>
  <c r="U37" i="10" a="1"/>
  <c r="U37" i="10" s="1"/>
  <c r="U32" i="10" a="1"/>
  <c r="U32" i="10" s="1"/>
  <c r="U27" i="10" a="1"/>
  <c r="U27" i="10" s="1"/>
  <c r="U22" i="10" a="1"/>
  <c r="U22" i="10" s="1"/>
  <c r="U17" i="10" a="1"/>
  <c r="U17" i="10" s="1"/>
  <c r="U12" i="10" a="1"/>
  <c r="U12" i="10" s="1"/>
  <c r="U7" i="10" a="1"/>
  <c r="U13" i="10" a="1"/>
  <c r="U13" i="10" s="1"/>
  <c r="U48" i="10" a="1"/>
  <c r="U48" i="10" s="1"/>
  <c r="U38" i="10" a="1"/>
  <c r="U38" i="10" s="1"/>
  <c r="U28" i="10" a="1"/>
  <c r="U28" i="10" s="1"/>
  <c r="U18" i="10" a="1"/>
  <c r="U18" i="10" s="1"/>
  <c r="U8" i="10" a="1"/>
  <c r="U4" i="10" a="1"/>
  <c r="U55" i="10" a="1"/>
  <c r="U55" i="10" s="1"/>
  <c r="U45" i="10" a="1"/>
  <c r="U45" i="10" s="1"/>
  <c r="U35" i="10" a="1"/>
  <c r="U35" i="10" s="1"/>
  <c r="U25" i="10" a="1"/>
  <c r="U25" i="10" s="1"/>
  <c r="U15" i="10" a="1"/>
  <c r="U15" i="10" s="1"/>
  <c r="U53" i="10" a="1"/>
  <c r="U53" i="10" s="1"/>
  <c r="U43" i="10" a="1"/>
  <c r="U43" i="10" s="1"/>
  <c r="U33" i="10" a="1"/>
  <c r="U33" i="10" s="1"/>
  <c r="U23" i="10" a="1"/>
  <c r="U23" i="10" s="1"/>
  <c r="U11" i="10" a="1"/>
  <c r="U11" i="10" s="1"/>
  <c r="U10" i="10" a="1"/>
  <c r="U50" i="10" a="1"/>
  <c r="U50" i="10" s="1"/>
  <c r="U40" i="10" a="1"/>
  <c r="U40" i="10" s="1"/>
  <c r="U30" i="10" a="1"/>
  <c r="U30" i="10" s="1"/>
  <c r="U20" i="10" a="1"/>
  <c r="U20" i="10" s="1"/>
  <c r="U6" i="10" a="1"/>
  <c r="U5" i="10" a="1"/>
  <c r="AK51" i="10" a="1"/>
  <c r="AK51" i="10" s="1"/>
  <c r="AK46" i="10" a="1"/>
  <c r="AK46" i="10" s="1"/>
  <c r="AK41" i="10" a="1"/>
  <c r="AK41" i="10" s="1"/>
  <c r="AK36" i="10" a="1"/>
  <c r="AK36" i="10" s="1"/>
  <c r="AK31" i="10" a="1"/>
  <c r="AK31" i="10" s="1"/>
  <c r="AK26" i="10" a="1"/>
  <c r="AK26" i="10" s="1"/>
  <c r="AK21" i="10" a="1"/>
  <c r="AK21" i="10" s="1"/>
  <c r="AK16" i="10" a="1"/>
  <c r="AK16" i="10" s="1"/>
  <c r="AK11" i="10" a="1"/>
  <c r="AK11" i="10" s="1"/>
  <c r="AK6" i="10" a="1"/>
  <c r="AK6" i="10" s="1"/>
  <c r="AK18" i="10" a="1"/>
  <c r="AK18" i="10" s="1"/>
  <c r="AK53" i="10" a="1"/>
  <c r="AK53" i="10" s="1"/>
  <c r="AK48" i="10" a="1"/>
  <c r="AK48" i="10" s="1"/>
  <c r="AK43" i="10" a="1"/>
  <c r="AK43" i="10" s="1"/>
  <c r="AK38" i="10" a="1"/>
  <c r="AK38" i="10" s="1"/>
  <c r="AK33" i="10" a="1"/>
  <c r="AK33" i="10" s="1"/>
  <c r="AK28" i="10" a="1"/>
  <c r="AK28" i="10" s="1"/>
  <c r="AK23" i="10" a="1"/>
  <c r="AK23" i="10" s="1"/>
  <c r="AK54" i="10" a="1"/>
  <c r="AK54" i="10" s="1"/>
  <c r="AK49" i="10" a="1"/>
  <c r="AK49" i="10" s="1"/>
  <c r="AK44" i="10" a="1"/>
  <c r="AK44" i="10" s="1"/>
  <c r="AK39" i="10" a="1"/>
  <c r="AK39" i="10" s="1"/>
  <c r="AK34" i="10" a="1"/>
  <c r="AK34" i="10" s="1"/>
  <c r="AK29" i="10" a="1"/>
  <c r="AK29" i="10" s="1"/>
  <c r="AK24" i="10" a="1"/>
  <c r="AK24" i="10" s="1"/>
  <c r="AK19" i="10" a="1"/>
  <c r="AK19" i="10" s="1"/>
  <c r="AK14" i="10" a="1"/>
  <c r="AK14" i="10" s="1"/>
  <c r="AK9" i="10" a="1"/>
  <c r="AK9" i="10" s="1"/>
  <c r="AK8" i="10" a="1"/>
  <c r="AK8" i="10" s="1"/>
  <c r="AK7" i="10" a="1"/>
  <c r="AK7" i="10" s="1"/>
  <c r="AK55" i="10" a="1"/>
  <c r="AK55" i="10" s="1"/>
  <c r="AK45" i="10" a="1"/>
  <c r="AK45" i="10" s="1"/>
  <c r="AK35" i="10" a="1"/>
  <c r="AK35" i="10" s="1"/>
  <c r="AK25" i="10" a="1"/>
  <c r="AK25" i="10" s="1"/>
  <c r="AK15" i="10" a="1"/>
  <c r="AK15" i="10" s="1"/>
  <c r="AK52" i="10" a="1"/>
  <c r="AK52" i="10" s="1"/>
  <c r="AK42" i="10" a="1"/>
  <c r="AK42" i="10" s="1"/>
  <c r="AK32" i="10" a="1"/>
  <c r="AK32" i="10" s="1"/>
  <c r="AK22" i="10" a="1"/>
  <c r="AK22" i="10" s="1"/>
  <c r="AK10" i="10" a="1"/>
  <c r="AK10" i="10" s="1"/>
  <c r="AK50" i="10" a="1"/>
  <c r="AK50" i="10" s="1"/>
  <c r="AK40" i="10" a="1"/>
  <c r="AK40" i="10" s="1"/>
  <c r="AK30" i="10" a="1"/>
  <c r="AK30" i="10" s="1"/>
  <c r="AK20" i="10" a="1"/>
  <c r="AK20" i="10" s="1"/>
  <c r="AK5" i="10" a="1"/>
  <c r="AK5" i="10" s="1"/>
  <c r="AK47" i="10" a="1"/>
  <c r="AK47" i="10" s="1"/>
  <c r="AK37" i="10" a="1"/>
  <c r="AK37" i="10" s="1"/>
  <c r="AK27" i="10" a="1"/>
  <c r="AK27" i="10" s="1"/>
  <c r="AK17" i="10" a="1"/>
  <c r="AK17" i="10" s="1"/>
  <c r="AK13" i="10" a="1"/>
  <c r="AK13" i="10" s="1"/>
  <c r="AK12" i="10" a="1"/>
  <c r="AK12" i="10" s="1"/>
  <c r="AK4" i="10" a="1"/>
  <c r="AK4" i="10" s="1"/>
  <c r="H7" i="2"/>
  <c r="H6" i="2"/>
  <c r="AU6" i="2" s="1"/>
  <c r="N7" i="2"/>
  <c r="AT4" i="6" a="1"/>
  <c r="BB4" i="6" a="1"/>
  <c r="N4" i="6" a="1"/>
  <c r="V4" i="6" a="1"/>
  <c r="F4" i="6" a="1"/>
  <c r="AL7" i="2"/>
  <c r="AT4" i="4" a="1"/>
  <c r="AR7" i="2"/>
  <c r="N5" i="2"/>
  <c r="H5" i="2"/>
  <c r="U7" i="10" l="1"/>
  <c r="F86" i="12" a="1"/>
  <c r="F86" i="12" s="1"/>
  <c r="U6" i="10"/>
  <c r="F85" i="12" a="1"/>
  <c r="F85" i="12" s="1"/>
  <c r="U4" i="10"/>
  <c r="F83" i="12" a="1"/>
  <c r="F83" i="12" s="1"/>
  <c r="U10" i="10"/>
  <c r="F89" i="12" s="1" a="1"/>
  <c r="F89" i="12" s="1"/>
  <c r="U5" i="10"/>
  <c r="F84" i="12" a="1"/>
  <c r="F84" i="12" s="1"/>
  <c r="U8" i="10"/>
  <c r="F87" i="12" a="1"/>
  <c r="F87" i="12" s="1"/>
  <c r="U9" i="10"/>
  <c r="F88" i="12" a="1"/>
  <c r="F88" i="12" s="1"/>
  <c r="AU5" i="2"/>
  <c r="AU7" i="2"/>
  <c r="AK56" i="6" a="1"/>
  <c r="AK56" i="6" s="1"/>
  <c r="AK51" i="6" a="1"/>
  <c r="AK51" i="6" s="1"/>
  <c r="AK46" i="6" a="1"/>
  <c r="AK46" i="6" s="1"/>
  <c r="AK41" i="6" a="1"/>
  <c r="AK41" i="6" s="1"/>
  <c r="AK36" i="6" a="1"/>
  <c r="AK36" i="6" s="1"/>
  <c r="AK31" i="6" a="1"/>
  <c r="AK31" i="6" s="1"/>
  <c r="AK55" i="6" a="1"/>
  <c r="AK55" i="6" s="1"/>
  <c r="AK50" i="6" a="1"/>
  <c r="AK50" i="6" s="1"/>
  <c r="AK45" i="6" a="1"/>
  <c r="AK45" i="6" s="1"/>
  <c r="AK40" i="6" a="1"/>
  <c r="AK40" i="6" s="1"/>
  <c r="AK35" i="6" a="1"/>
  <c r="AK35" i="6" s="1"/>
  <c r="AK38" i="6" a="1"/>
  <c r="AK38" i="6" s="1"/>
  <c r="AK48" i="6" a="1"/>
  <c r="AK48" i="6" s="1"/>
  <c r="AK33" i="6" a="1"/>
  <c r="AK33" i="6" s="1"/>
  <c r="AK37" i="6" a="1"/>
  <c r="AK37" i="6" s="1"/>
  <c r="AK54" i="6" a="1"/>
  <c r="AK54" i="6" s="1"/>
  <c r="AK49" i="6" a="1"/>
  <c r="AK49" i="6" s="1"/>
  <c r="AK44" i="6" a="1"/>
  <c r="AK44" i="6" s="1"/>
  <c r="AK39" i="6" a="1"/>
  <c r="AK39" i="6" s="1"/>
  <c r="AK34" i="6" a="1"/>
  <c r="AK34" i="6" s="1"/>
  <c r="AK43" i="6" a="1"/>
  <c r="AK43" i="6" s="1"/>
  <c r="AK52" i="6" a="1"/>
  <c r="AK52" i="6" s="1"/>
  <c r="AK47" i="6" a="1"/>
  <c r="AK47" i="6" s="1"/>
  <c r="AK42" i="6" a="1"/>
  <c r="AK42" i="6" s="1"/>
  <c r="AK32" i="6" a="1"/>
  <c r="AK32" i="6" s="1"/>
  <c r="AK53" i="6" a="1"/>
  <c r="AK53" i="6" s="1"/>
  <c r="AC54" i="6" a="1"/>
  <c r="AC54" i="6" s="1"/>
  <c r="AC34" i="6" a="1"/>
  <c r="AC34" i="6" s="1"/>
  <c r="AC24" i="6" a="1"/>
  <c r="AC14" i="6" a="1"/>
  <c r="AC53" i="6" a="1"/>
  <c r="AC53" i="6" s="1"/>
  <c r="AC43" i="6" a="1"/>
  <c r="AC43" i="6" s="1"/>
  <c r="AC33" i="6" a="1"/>
  <c r="AC33" i="6" s="1"/>
  <c r="AC23" i="6" a="1"/>
  <c r="AC13" i="6" a="1"/>
  <c r="AC4" i="6" a="1"/>
  <c r="AC47" i="6" a="1"/>
  <c r="AC47" i="6" s="1"/>
  <c r="AC52" i="6" a="1"/>
  <c r="AC52" i="6" s="1"/>
  <c r="AC42" i="6" a="1"/>
  <c r="AC42" i="6" s="1"/>
  <c r="AC32" i="6" a="1"/>
  <c r="AC32" i="6" s="1"/>
  <c r="AC22" i="6" a="1"/>
  <c r="AC12" i="6" a="1"/>
  <c r="AC27" i="6" a="1"/>
  <c r="AC51" i="6" a="1"/>
  <c r="AC51" i="6" s="1"/>
  <c r="AC41" i="6" a="1"/>
  <c r="AC41" i="6" s="1"/>
  <c r="AC31" i="6" a="1"/>
  <c r="AC31" i="6" s="1"/>
  <c r="AC21" i="6" a="1"/>
  <c r="AC11" i="6" a="1"/>
  <c r="AC37" i="6" a="1"/>
  <c r="AC37" i="6" s="1"/>
  <c r="AC50" i="6" a="1"/>
  <c r="AC50" i="6" s="1"/>
  <c r="AC40" i="6" a="1"/>
  <c r="AC40" i="6" s="1"/>
  <c r="AC30" i="6" a="1"/>
  <c r="AC20" i="6" a="1"/>
  <c r="AC10" i="6" a="1"/>
  <c r="AC7" i="6" a="1"/>
  <c r="AC49" i="6" a="1"/>
  <c r="AC49" i="6" s="1"/>
  <c r="AC39" i="6" a="1"/>
  <c r="AC39" i="6" s="1"/>
  <c r="AC29" i="6" a="1"/>
  <c r="AC19" i="6" a="1"/>
  <c r="AC9" i="6" a="1"/>
  <c r="AC48" i="6" a="1"/>
  <c r="AC48" i="6" s="1"/>
  <c r="AC38" i="6" a="1"/>
  <c r="AC38" i="6" s="1"/>
  <c r="AC28" i="6" a="1"/>
  <c r="AC18" i="6" a="1"/>
  <c r="AC8" i="6" a="1"/>
  <c r="AC17" i="6" a="1"/>
  <c r="AC56" i="6" a="1"/>
  <c r="AC56" i="6" s="1"/>
  <c r="AC46" i="6" a="1"/>
  <c r="AC46" i="6" s="1"/>
  <c r="AC36" i="6" a="1"/>
  <c r="AC36" i="6" s="1"/>
  <c r="AC26" i="6" a="1"/>
  <c r="AC16" i="6" a="1"/>
  <c r="AC6" i="6" a="1"/>
  <c r="AC55" i="6" a="1"/>
  <c r="AC55" i="6" s="1"/>
  <c r="AC45" i="6" a="1"/>
  <c r="AC45" i="6" s="1"/>
  <c r="AC35" i="6" a="1"/>
  <c r="AC35" i="6" s="1"/>
  <c r="AC25" i="6" a="1"/>
  <c r="AC15" i="6" a="1"/>
  <c r="AC5" i="6" a="1"/>
  <c r="AC44" i="6" a="1"/>
  <c r="AC44" i="6" s="1"/>
  <c r="BA55" i="10" a="1"/>
  <c r="BA55" i="10" s="1"/>
  <c r="BA50" i="10" a="1"/>
  <c r="BA50" i="10" s="1"/>
  <c r="BA45" i="10" a="1"/>
  <c r="BA45" i="10" s="1"/>
  <c r="BA40" i="10" a="1"/>
  <c r="BA40" i="10" s="1"/>
  <c r="BA35" i="10" a="1"/>
  <c r="BA35" i="10" s="1"/>
  <c r="BA30" i="10" a="1"/>
  <c r="BA30" i="10" s="1"/>
  <c r="BA25" i="10" a="1"/>
  <c r="BA25" i="10" s="1"/>
  <c r="BA20" i="10" a="1"/>
  <c r="BA20" i="10" s="1"/>
  <c r="BA15" i="10" a="1"/>
  <c r="BA15" i="10" s="1"/>
  <c r="BA10" i="10" a="1"/>
  <c r="BA10" i="10" s="1"/>
  <c r="BA5" i="10" a="1"/>
  <c r="BA5" i="10" s="1"/>
  <c r="BA17" i="10" a="1"/>
  <c r="BA17" i="10" s="1"/>
  <c r="BA52" i="10" a="1"/>
  <c r="BA52" i="10" s="1"/>
  <c r="BA47" i="10" a="1"/>
  <c r="BA47" i="10" s="1"/>
  <c r="BA42" i="10" a="1"/>
  <c r="BA42" i="10" s="1"/>
  <c r="BA37" i="10" a="1"/>
  <c r="BA37" i="10" s="1"/>
  <c r="BA32" i="10" a="1"/>
  <c r="BA32" i="10" s="1"/>
  <c r="BA27" i="10" a="1"/>
  <c r="BA27" i="10" s="1"/>
  <c r="BA22" i="10" a="1"/>
  <c r="BA22" i="10" s="1"/>
  <c r="BA53" i="10" a="1"/>
  <c r="BA53" i="10" s="1"/>
  <c r="BA48" i="10" a="1"/>
  <c r="BA48" i="10" s="1"/>
  <c r="BA43" i="10" a="1"/>
  <c r="BA43" i="10" s="1"/>
  <c r="BA38" i="10" a="1"/>
  <c r="BA38" i="10" s="1"/>
  <c r="BA33" i="10" a="1"/>
  <c r="BA33" i="10" s="1"/>
  <c r="BA28" i="10" a="1"/>
  <c r="BA28" i="10" s="1"/>
  <c r="BA23" i="10" a="1"/>
  <c r="BA23" i="10" s="1"/>
  <c r="BA18" i="10" a="1"/>
  <c r="BA18" i="10" s="1"/>
  <c r="BA13" i="10" a="1"/>
  <c r="BA13" i="10" s="1"/>
  <c r="BA8" i="10" a="1"/>
  <c r="BA8" i="10" s="1"/>
  <c r="BA9" i="10" a="1"/>
  <c r="BA9" i="10" s="1"/>
  <c r="BA49" i="10" a="1"/>
  <c r="BA49" i="10" s="1"/>
  <c r="BA39" i="10" a="1"/>
  <c r="BA39" i="10" s="1"/>
  <c r="BA29" i="10" a="1"/>
  <c r="BA29" i="10" s="1"/>
  <c r="BA19" i="10" a="1"/>
  <c r="BA19" i="10" s="1"/>
  <c r="BA46" i="10" a="1"/>
  <c r="BA46" i="10" s="1"/>
  <c r="BA36" i="10" a="1"/>
  <c r="BA36" i="10" s="1"/>
  <c r="BA26" i="10" a="1"/>
  <c r="BA26" i="10" s="1"/>
  <c r="BA16" i="10" a="1"/>
  <c r="BA16" i="10" s="1"/>
  <c r="BA12" i="10" a="1"/>
  <c r="BA12" i="10" s="1"/>
  <c r="BA11" i="10" a="1"/>
  <c r="BA11" i="10" s="1"/>
  <c r="BA4" i="10" a="1"/>
  <c r="BA4" i="10" s="1"/>
  <c r="BA54" i="10" a="1"/>
  <c r="BA54" i="10" s="1"/>
  <c r="BA44" i="10" a="1"/>
  <c r="BA44" i="10" s="1"/>
  <c r="BA34" i="10" a="1"/>
  <c r="BA34" i="10" s="1"/>
  <c r="BA24" i="10" a="1"/>
  <c r="BA24" i="10" s="1"/>
  <c r="BA7" i="10" a="1"/>
  <c r="BA7" i="10" s="1"/>
  <c r="BA6" i="10" a="1"/>
  <c r="BA6" i="10" s="1"/>
  <c r="BA51" i="10" a="1"/>
  <c r="BA51" i="10" s="1"/>
  <c r="BA41" i="10" a="1"/>
  <c r="BA41" i="10" s="1"/>
  <c r="BA31" i="10" a="1"/>
  <c r="BA31" i="10" s="1"/>
  <c r="BA21" i="10" a="1"/>
  <c r="BA21" i="10" s="1"/>
  <c r="BA14" i="10" a="1"/>
  <c r="BA14" i="10" s="1"/>
  <c r="AS53" i="10" a="1"/>
  <c r="AS53" i="10" s="1"/>
  <c r="AS48" i="10" a="1"/>
  <c r="AS48" i="10" s="1"/>
  <c r="AS43" i="10" a="1"/>
  <c r="AS43" i="10" s="1"/>
  <c r="AS38" i="10" a="1"/>
  <c r="AS38" i="10" s="1"/>
  <c r="AS33" i="10" a="1"/>
  <c r="AS33" i="10" s="1"/>
  <c r="AS28" i="10" a="1"/>
  <c r="AS28" i="10" s="1"/>
  <c r="AS23" i="10" a="1"/>
  <c r="AS23" i="10" s="1"/>
  <c r="AS18" i="10" a="1"/>
  <c r="AS18" i="10" s="1"/>
  <c r="AS13" i="10" a="1"/>
  <c r="AS13" i="10" s="1"/>
  <c r="AS8" i="10" a="1"/>
  <c r="AS8" i="10" s="1"/>
  <c r="AS4" i="10" a="1"/>
  <c r="AS4" i="10" s="1"/>
  <c r="AS20" i="10" a="1"/>
  <c r="AS20" i="10" s="1"/>
  <c r="AS55" i="10" a="1"/>
  <c r="AS55" i="10" s="1"/>
  <c r="AS50" i="10" a="1"/>
  <c r="AS50" i="10" s="1"/>
  <c r="AS45" i="10" a="1"/>
  <c r="AS45" i="10" s="1"/>
  <c r="AS40" i="10" a="1"/>
  <c r="AS40" i="10" s="1"/>
  <c r="AS35" i="10" a="1"/>
  <c r="AS35" i="10" s="1"/>
  <c r="AS30" i="10" a="1"/>
  <c r="AS30" i="10" s="1"/>
  <c r="AS25" i="10" a="1"/>
  <c r="AS25" i="10" s="1"/>
  <c r="AS51" i="10" a="1"/>
  <c r="AS51" i="10" s="1"/>
  <c r="AS46" i="10" a="1"/>
  <c r="AS46" i="10" s="1"/>
  <c r="AS41" i="10" a="1"/>
  <c r="AS41" i="10" s="1"/>
  <c r="AS36" i="10" a="1"/>
  <c r="AS36" i="10" s="1"/>
  <c r="AS31" i="10" a="1"/>
  <c r="AS31" i="10" s="1"/>
  <c r="AS26" i="10" a="1"/>
  <c r="AS26" i="10" s="1"/>
  <c r="AS21" i="10" a="1"/>
  <c r="AS21" i="10" s="1"/>
  <c r="AS16" i="10" a="1"/>
  <c r="AS16" i="10" s="1"/>
  <c r="AS11" i="10" a="1"/>
  <c r="AS11" i="10" s="1"/>
  <c r="AS6" i="10" a="1"/>
  <c r="AS6" i="10" s="1"/>
  <c r="AS15" i="10" a="1"/>
  <c r="AS15" i="10" s="1"/>
  <c r="AS14" i="10" a="1"/>
  <c r="AS14" i="10" s="1"/>
  <c r="AS52" i="10" a="1"/>
  <c r="AS52" i="10" s="1"/>
  <c r="AS42" i="10" a="1"/>
  <c r="AS42" i="10" s="1"/>
  <c r="AS32" i="10" a="1"/>
  <c r="AS32" i="10" s="1"/>
  <c r="AS22" i="10" a="1"/>
  <c r="AS22" i="10" s="1"/>
  <c r="AS10" i="10" a="1"/>
  <c r="AS10" i="10" s="1"/>
  <c r="AS9" i="10" a="1"/>
  <c r="AS9" i="10" s="1"/>
  <c r="AS49" i="10" a="1"/>
  <c r="AS49" i="10" s="1"/>
  <c r="AS39" i="10" a="1"/>
  <c r="AS39" i="10" s="1"/>
  <c r="AS29" i="10" a="1"/>
  <c r="AS29" i="10" s="1"/>
  <c r="AS19" i="10" a="1"/>
  <c r="AS19" i="10" s="1"/>
  <c r="AS5" i="10" a="1"/>
  <c r="AS5" i="10" s="1"/>
  <c r="AS47" i="10" a="1"/>
  <c r="AS47" i="10" s="1"/>
  <c r="AS37" i="10" a="1"/>
  <c r="AS37" i="10" s="1"/>
  <c r="AS27" i="10" a="1"/>
  <c r="AS27" i="10" s="1"/>
  <c r="AS17" i="10" a="1"/>
  <c r="AS17" i="10" s="1"/>
  <c r="AS12" i="10" a="1"/>
  <c r="AS12" i="10" s="1"/>
  <c r="AS54" i="10" a="1"/>
  <c r="AS54" i="10" s="1"/>
  <c r="AS44" i="10" a="1"/>
  <c r="AS44" i="10" s="1"/>
  <c r="AS34" i="10" a="1"/>
  <c r="AS34" i="10" s="1"/>
  <c r="AS24" i="10" a="1"/>
  <c r="AS24" i="10" s="1"/>
  <c r="AS7" i="10" a="1"/>
  <c r="AS7" i="10" s="1"/>
  <c r="M52" i="10" a="1"/>
  <c r="M52" i="10" s="1"/>
  <c r="M47" i="10" a="1"/>
  <c r="M47" i="10" s="1"/>
  <c r="M42" i="10" a="1"/>
  <c r="M42" i="10" s="1"/>
  <c r="M37" i="10" a="1"/>
  <c r="M37" i="10" s="1"/>
  <c r="M32" i="10" a="1"/>
  <c r="M32" i="10" s="1"/>
  <c r="M27" i="10" a="1"/>
  <c r="M27" i="10" s="1"/>
  <c r="M22" i="10" a="1"/>
  <c r="M22" i="10" s="1"/>
  <c r="M17" i="10" a="1"/>
  <c r="M17" i="10" s="1"/>
  <c r="M12" i="10" a="1"/>
  <c r="M12" i="10" s="1"/>
  <c r="M7" i="10" a="1"/>
  <c r="M54" i="10" a="1"/>
  <c r="M54" i="10" s="1"/>
  <c r="M49" i="10" a="1"/>
  <c r="M49" i="10" s="1"/>
  <c r="M44" i="10" a="1"/>
  <c r="M44" i="10" s="1"/>
  <c r="M39" i="10" a="1"/>
  <c r="M39" i="10" s="1"/>
  <c r="M34" i="10" a="1"/>
  <c r="M34" i="10" s="1"/>
  <c r="M29" i="10" a="1"/>
  <c r="M29" i="10" s="1"/>
  <c r="M24" i="10" a="1"/>
  <c r="M24" i="10" s="1"/>
  <c r="M19" i="10" a="1"/>
  <c r="M19" i="10" s="1"/>
  <c r="M55" i="10" a="1"/>
  <c r="M55" i="10" s="1"/>
  <c r="M50" i="10" a="1"/>
  <c r="M50" i="10" s="1"/>
  <c r="M45" i="10" a="1"/>
  <c r="M45" i="10" s="1"/>
  <c r="M40" i="10" a="1"/>
  <c r="M40" i="10" s="1"/>
  <c r="M35" i="10" a="1"/>
  <c r="M35" i="10" s="1"/>
  <c r="M30" i="10" a="1"/>
  <c r="M30" i="10" s="1"/>
  <c r="M25" i="10" a="1"/>
  <c r="M25" i="10" s="1"/>
  <c r="M20" i="10" a="1"/>
  <c r="M20" i="10" s="1"/>
  <c r="M15" i="10" a="1"/>
  <c r="M15" i="10" s="1"/>
  <c r="M10" i="10" a="1"/>
  <c r="M5" i="10" a="1"/>
  <c r="M6" i="10" a="1"/>
  <c r="M51" i="10" a="1"/>
  <c r="M51" i="10" s="1"/>
  <c r="M41" i="10" a="1"/>
  <c r="M41" i="10" s="1"/>
  <c r="M31" i="10" a="1"/>
  <c r="M31" i="10" s="1"/>
  <c r="M21" i="10" a="1"/>
  <c r="M21" i="10" s="1"/>
  <c r="M14" i="10" a="1"/>
  <c r="M14" i="10" s="1"/>
  <c r="M13" i="10" a="1"/>
  <c r="M13" i="10" s="1"/>
  <c r="M48" i="10" a="1"/>
  <c r="M48" i="10" s="1"/>
  <c r="M38" i="10" a="1"/>
  <c r="M38" i="10" s="1"/>
  <c r="M28" i="10" a="1"/>
  <c r="M28" i="10" s="1"/>
  <c r="M18" i="10" a="1"/>
  <c r="M18" i="10" s="1"/>
  <c r="M4" i="10" a="1"/>
  <c r="M9" i="10" a="1"/>
  <c r="M8" i="10" a="1"/>
  <c r="M46" i="10" a="1"/>
  <c r="M46" i="10" s="1"/>
  <c r="M36" i="10" a="1"/>
  <c r="M36" i="10" s="1"/>
  <c r="M26" i="10" a="1"/>
  <c r="M26" i="10" s="1"/>
  <c r="M16" i="10" a="1"/>
  <c r="M16" i="10" s="1"/>
  <c r="M53" i="10" a="1"/>
  <c r="M53" i="10" s="1"/>
  <c r="M43" i="10" a="1"/>
  <c r="M43" i="10" s="1"/>
  <c r="M33" i="10" a="1"/>
  <c r="M33" i="10" s="1"/>
  <c r="M23" i="10" a="1"/>
  <c r="M23" i="10" s="1"/>
  <c r="M11" i="10" a="1"/>
  <c r="M11" i="10" s="1"/>
  <c r="AS11" i="4" a="1"/>
  <c r="AS11" i="4" s="1"/>
  <c r="AS14" i="4" a="1"/>
  <c r="AS14" i="4" s="1"/>
  <c r="AS22" i="4" a="1"/>
  <c r="AS22" i="4" s="1"/>
  <c r="AS25" i="4" a="1"/>
  <c r="AS25" i="4" s="1"/>
  <c r="AS36" i="4" a="1"/>
  <c r="AS36" i="4" s="1"/>
  <c r="AS8" i="4" a="1"/>
  <c r="AS8" i="4" s="1"/>
  <c r="AS33" i="4" a="1"/>
  <c r="AS33" i="4" s="1"/>
  <c r="AS5" i="4" a="1"/>
  <c r="AS5" i="4" s="1"/>
  <c r="AS16" i="4" a="1"/>
  <c r="AS16" i="4" s="1"/>
  <c r="AS19" i="4" a="1"/>
  <c r="AS19" i="4" s="1"/>
  <c r="AS27" i="4" a="1"/>
  <c r="AS27" i="4" s="1"/>
  <c r="AS30" i="4" a="1"/>
  <c r="AS30" i="4" s="1"/>
  <c r="AS13" i="4" a="1"/>
  <c r="AS13" i="4" s="1"/>
  <c r="AS7" i="4" a="1"/>
  <c r="AS7" i="4" s="1"/>
  <c r="AS10" i="4" a="1"/>
  <c r="AS10" i="4" s="1"/>
  <c r="AS21" i="4" a="1"/>
  <c r="AS21" i="4" s="1"/>
  <c r="AS24" i="4" a="1"/>
  <c r="AS24" i="4" s="1"/>
  <c r="AS32" i="4" a="1"/>
  <c r="AS32" i="4" s="1"/>
  <c r="AS35" i="4" a="1"/>
  <c r="AS35" i="4" s="1"/>
  <c r="AS18" i="4" a="1"/>
  <c r="AS18" i="4" s="1"/>
  <c r="AS12" i="4" a="1"/>
  <c r="AS12" i="4" s="1"/>
  <c r="AS15" i="4" a="1"/>
  <c r="AS15" i="4" s="1"/>
  <c r="AS26" i="4" a="1"/>
  <c r="AS26" i="4" s="1"/>
  <c r="AS29" i="4" a="1"/>
  <c r="AS29" i="4" s="1"/>
  <c r="AS37" i="4" a="1"/>
  <c r="AS37" i="4" s="1"/>
  <c r="AS23" i="4" a="1"/>
  <c r="AS23" i="4" s="1"/>
  <c r="AS6" i="4" a="1"/>
  <c r="AS6" i="4" s="1"/>
  <c r="AS9" i="4" a="1"/>
  <c r="AS9" i="4" s="1"/>
  <c r="AS17" i="4" a="1"/>
  <c r="AS17" i="4" s="1"/>
  <c r="AS20" i="4" a="1"/>
  <c r="AS20" i="4" s="1"/>
  <c r="AS31" i="4" a="1"/>
  <c r="AS31" i="4" s="1"/>
  <c r="AS34" i="4" a="1"/>
  <c r="AS34" i="4" s="1"/>
  <c r="AS28" i="4" a="1"/>
  <c r="AS28" i="4" s="1"/>
  <c r="BB4" i="6"/>
  <c r="BA26" i="6" a="1"/>
  <c r="BA26" i="6" s="1"/>
  <c r="BA51" i="6" a="1"/>
  <c r="BA51" i="6" s="1"/>
  <c r="BA21" i="6" a="1"/>
  <c r="BA21" i="6" s="1"/>
  <c r="BA15" i="6" a="1"/>
  <c r="BA15" i="6" s="1"/>
  <c r="BA34" i="6" a="1"/>
  <c r="BA34" i="6" s="1"/>
  <c r="BA40" i="6" a="1"/>
  <c r="BA40" i="6" s="1"/>
  <c r="BA53" i="6" a="1"/>
  <c r="BA53" i="6" s="1"/>
  <c r="BA13" i="6" a="1"/>
  <c r="BA13" i="6" s="1"/>
  <c r="BA44" i="6" a="1"/>
  <c r="BA44" i="6" s="1"/>
  <c r="BA8" i="6" a="1"/>
  <c r="BA8" i="6" s="1"/>
  <c r="BA14" i="6" a="1"/>
  <c r="BA14" i="6" s="1"/>
  <c r="BA20" i="6" a="1"/>
  <c r="BA20" i="6" s="1"/>
  <c r="BA27" i="6" a="1"/>
  <c r="BA27" i="6" s="1"/>
  <c r="BA33" i="6" a="1"/>
  <c r="BA33" i="6" s="1"/>
  <c r="BA39" i="6" a="1"/>
  <c r="BA39" i="6" s="1"/>
  <c r="BA45" i="6" a="1"/>
  <c r="BA45" i="6" s="1"/>
  <c r="BA52" i="6" a="1"/>
  <c r="BA52" i="6" s="1"/>
  <c r="BA46" i="6" a="1"/>
  <c r="BA46" i="6" s="1"/>
  <c r="BA22" i="6" a="1"/>
  <c r="BA22" i="6" s="1"/>
  <c r="BA28" i="6" a="1"/>
  <c r="BA28" i="6" s="1"/>
  <c r="BA47" i="6" a="1"/>
  <c r="BA47" i="6" s="1"/>
  <c r="BA31" i="6" a="1"/>
  <c r="BA31" i="6" s="1"/>
  <c r="BA19" i="6" a="1"/>
  <c r="BA19" i="6" s="1"/>
  <c r="BA9" i="6" a="1"/>
  <c r="BA9" i="6" s="1"/>
  <c r="BA16" i="6" a="1"/>
  <c r="BA16" i="6" s="1"/>
  <c r="BA41" i="6" a="1"/>
  <c r="BA41" i="6" s="1"/>
  <c r="BA10" i="6" a="1"/>
  <c r="BA10" i="6" s="1"/>
  <c r="BA17" i="6" a="1"/>
  <c r="BA17" i="6" s="1"/>
  <c r="BA23" i="6" a="1"/>
  <c r="BA23" i="6" s="1"/>
  <c r="BA29" i="6" a="1"/>
  <c r="BA29" i="6" s="1"/>
  <c r="BA35" i="6" a="1"/>
  <c r="BA35" i="6" s="1"/>
  <c r="BA42" i="6" a="1"/>
  <c r="BA42" i="6" s="1"/>
  <c r="BA48" i="6" a="1"/>
  <c r="BA48" i="6" s="1"/>
  <c r="BA54" i="6" a="1"/>
  <c r="BA54" i="6" s="1"/>
  <c r="BA7" i="6" a="1"/>
  <c r="BA7" i="6" s="1"/>
  <c r="BA50" i="6" a="1"/>
  <c r="BA50" i="6" s="1"/>
  <c r="BA5" i="6" a="1"/>
  <c r="BA5" i="6" s="1"/>
  <c r="BA11" i="6" a="1"/>
  <c r="BA11" i="6" s="1"/>
  <c r="BA36" i="6" a="1"/>
  <c r="BA36" i="6" s="1"/>
  <c r="BA6" i="6" a="1"/>
  <c r="BA6" i="6" s="1"/>
  <c r="BA12" i="6" a="1"/>
  <c r="BA12" i="6" s="1"/>
  <c r="BA18" i="6" a="1"/>
  <c r="BA18" i="6" s="1"/>
  <c r="BA24" i="6" a="1"/>
  <c r="BA24" i="6" s="1"/>
  <c r="BA30" i="6" a="1"/>
  <c r="BA30" i="6" s="1"/>
  <c r="BA37" i="6" a="1"/>
  <c r="BA37" i="6" s="1"/>
  <c r="BA43" i="6" a="1"/>
  <c r="BA43" i="6" s="1"/>
  <c r="BA49" i="6" a="1"/>
  <c r="BA49" i="6" s="1"/>
  <c r="BA4" i="6" a="1"/>
  <c r="BA4" i="6" s="1"/>
  <c r="BA32" i="6" a="1"/>
  <c r="BA32" i="6" s="1"/>
  <c r="BA25" i="6" a="1"/>
  <c r="BA25" i="6" s="1"/>
  <c r="BA38" i="6" a="1"/>
  <c r="BA38" i="6" s="1"/>
  <c r="AT4" i="6"/>
  <c r="AS16" i="6" a="1"/>
  <c r="AS16" i="6" s="1"/>
  <c r="AS23" i="6" a="1"/>
  <c r="AS23" i="6" s="1"/>
  <c r="AS29" i="6" a="1"/>
  <c r="AS29" i="6" s="1"/>
  <c r="AS35" i="6" a="1"/>
  <c r="AS35" i="6" s="1"/>
  <c r="AS42" i="6" a="1"/>
  <c r="AS42" i="6" s="1"/>
  <c r="AS48" i="6" a="1"/>
  <c r="AS48" i="6" s="1"/>
  <c r="AS54" i="6" a="1"/>
  <c r="AS54" i="6" s="1"/>
  <c r="AS13" i="6" a="1"/>
  <c r="AS13" i="6" s="1"/>
  <c r="AS10" i="6" a="1"/>
  <c r="AS10" i="6" s="1"/>
  <c r="AS17" i="6" a="1"/>
  <c r="AS17" i="6" s="1"/>
  <c r="AS36" i="6" a="1"/>
  <c r="AS36" i="6" s="1"/>
  <c r="AS19" i="6" a="1"/>
  <c r="AS19" i="6" s="1"/>
  <c r="AS20" i="6" a="1"/>
  <c r="AS20" i="6" s="1"/>
  <c r="AS21" i="6" a="1"/>
  <c r="AS21" i="6" s="1"/>
  <c r="AS11" i="6" a="1"/>
  <c r="AS11" i="6" s="1"/>
  <c r="AS24" i="6" a="1"/>
  <c r="AS24" i="6" s="1"/>
  <c r="AS30" i="6" a="1"/>
  <c r="AS30" i="6" s="1"/>
  <c r="AS37" i="6" a="1"/>
  <c r="AS37" i="6" s="1"/>
  <c r="AS43" i="6" a="1"/>
  <c r="AS43" i="6" s="1"/>
  <c r="AS49" i="6" a="1"/>
  <c r="AS49" i="6" s="1"/>
  <c r="AS4" i="6" a="1"/>
  <c r="AS4" i="6" s="1"/>
  <c r="AS12" i="6" a="1"/>
  <c r="AS12" i="6" s="1"/>
  <c r="AS18" i="6" a="1"/>
  <c r="AS18" i="6" s="1"/>
  <c r="AS31" i="6" a="1"/>
  <c r="AS31" i="6" s="1"/>
  <c r="AS33" i="6" a="1"/>
  <c r="AS33" i="6" s="1"/>
  <c r="AS22" i="6" a="1"/>
  <c r="AS22" i="6" s="1"/>
  <c r="AS28" i="6" a="1"/>
  <c r="AS28" i="6" s="1"/>
  <c r="AS34" i="6" a="1"/>
  <c r="AS34" i="6" s="1"/>
  <c r="AS40" i="6" a="1"/>
  <c r="AS40" i="6" s="1"/>
  <c r="AS5" i="6" a="1"/>
  <c r="AS5" i="6" s="1"/>
  <c r="AS25" i="6" a="1"/>
  <c r="AS25" i="6" s="1"/>
  <c r="AS32" i="6" a="1"/>
  <c r="AS32" i="6" s="1"/>
  <c r="AS38" i="6" a="1"/>
  <c r="AS38" i="6" s="1"/>
  <c r="AS44" i="6" a="1"/>
  <c r="AS44" i="6" s="1"/>
  <c r="AS50" i="6" a="1"/>
  <c r="AS50" i="6" s="1"/>
  <c r="AS6" i="6" a="1"/>
  <c r="AS6" i="6" s="1"/>
  <c r="AS26" i="6" a="1"/>
  <c r="AS26" i="6" s="1"/>
  <c r="AS51" i="6" a="1"/>
  <c r="AS51" i="6" s="1"/>
  <c r="AS7" i="6" a="1"/>
  <c r="AS7" i="6" s="1"/>
  <c r="AS27" i="6" a="1"/>
  <c r="AS27" i="6" s="1"/>
  <c r="AS39" i="6" a="1"/>
  <c r="AS39" i="6" s="1"/>
  <c r="AS52" i="6" a="1"/>
  <c r="AS52" i="6" s="1"/>
  <c r="AS8" i="6" a="1"/>
  <c r="AS8" i="6" s="1"/>
  <c r="AS46" i="6" a="1"/>
  <c r="AS46" i="6" s="1"/>
  <c r="AS14" i="6" a="1"/>
  <c r="AS14" i="6" s="1"/>
  <c r="AS15" i="6" a="1"/>
  <c r="AS15" i="6" s="1"/>
  <c r="AS45" i="6" a="1"/>
  <c r="AS45" i="6" s="1"/>
  <c r="AS53" i="6" a="1"/>
  <c r="AS53" i="6" s="1"/>
  <c r="AS9" i="6" a="1"/>
  <c r="AS9" i="6" s="1"/>
  <c r="AS41" i="6" a="1"/>
  <c r="AS41" i="6" s="1"/>
  <c r="AS47" i="6" a="1"/>
  <c r="AS47" i="6" s="1"/>
  <c r="V4" i="6"/>
  <c r="G8" i="12" s="1" a="1"/>
  <c r="G8" i="12" s="1"/>
  <c r="U7" i="6" a="1"/>
  <c r="U13" i="6" a="1"/>
  <c r="U19" i="6" a="1"/>
  <c r="U25" i="6" a="1"/>
  <c r="U32" i="6" a="1"/>
  <c r="U32" i="6" s="1"/>
  <c r="U51" i="6" a="1"/>
  <c r="U51" i="6" s="1"/>
  <c r="U14" i="6" a="1"/>
  <c r="U27" i="6" a="1"/>
  <c r="U26" i="6" a="1"/>
  <c r="U39" i="6" a="1"/>
  <c r="U39" i="6" s="1"/>
  <c r="U45" i="6" a="1"/>
  <c r="U45" i="6" s="1"/>
  <c r="U52" i="6" a="1"/>
  <c r="U52" i="6" s="1"/>
  <c r="U20" i="6" a="1"/>
  <c r="U33" i="6" a="1"/>
  <c r="U33" i="6" s="1"/>
  <c r="U46" i="6" a="1"/>
  <c r="U46" i="6" s="1"/>
  <c r="U8" i="6" a="1"/>
  <c r="U21" i="6" a="1"/>
  <c r="U40" i="6" a="1"/>
  <c r="U40" i="6" s="1"/>
  <c r="U47" i="6" a="1"/>
  <c r="U47" i="6" s="1"/>
  <c r="U53" i="6" a="1"/>
  <c r="U53" i="6" s="1"/>
  <c r="U42" i="6" a="1"/>
  <c r="U42" i="6" s="1"/>
  <c r="U23" i="6" a="1"/>
  <c r="U30" i="6" a="1"/>
  <c r="U9" i="6" a="1"/>
  <c r="U15" i="6" a="1"/>
  <c r="U22" i="6" a="1"/>
  <c r="U28" i="6" a="1"/>
  <c r="U34" i="6" a="1"/>
  <c r="U34" i="6" s="1"/>
  <c r="U41" i="6" a="1"/>
  <c r="U41" i="6" s="1"/>
  <c r="U35" i="6" a="1"/>
  <c r="U35" i="6" s="1"/>
  <c r="U48" i="6" a="1"/>
  <c r="U48" i="6" s="1"/>
  <c r="U10" i="6" a="1"/>
  <c r="U29" i="6" a="1"/>
  <c r="U36" i="6" a="1"/>
  <c r="U36" i="6" s="1"/>
  <c r="U11" i="6" a="1"/>
  <c r="U43" i="6" a="1"/>
  <c r="U43" i="6" s="1"/>
  <c r="U55" i="6" a="1"/>
  <c r="U55" i="6" s="1"/>
  <c r="U12" i="6" a="1"/>
  <c r="U16" i="6" a="1"/>
  <c r="U54" i="6" a="1"/>
  <c r="U54" i="6" s="1"/>
  <c r="U17" i="6" a="1"/>
  <c r="U49" i="6" a="1"/>
  <c r="U49" i="6" s="1"/>
  <c r="U5" i="6" a="1"/>
  <c r="U24" i="6" a="1"/>
  <c r="U56" i="6" a="1"/>
  <c r="U56" i="6" s="1"/>
  <c r="U6" i="6" a="1"/>
  <c r="U37" i="6" a="1"/>
  <c r="U37" i="6" s="1"/>
  <c r="U18" i="6" a="1"/>
  <c r="U38" i="6" a="1"/>
  <c r="U38" i="6" s="1"/>
  <c r="U44" i="6" a="1"/>
  <c r="U44" i="6" s="1"/>
  <c r="U50" i="6" a="1"/>
  <c r="U50" i="6" s="1"/>
  <c r="U4" i="6" a="1"/>
  <c r="U31" i="6" a="1"/>
  <c r="U31" i="6" s="1"/>
  <c r="M15" i="6" a="1"/>
  <c r="M23" i="6" a="1"/>
  <c r="M37" i="6" a="1"/>
  <c r="M37" i="6" s="1"/>
  <c r="M44" i="6" a="1"/>
  <c r="M44" i="6" s="1"/>
  <c r="M51" i="6" a="1"/>
  <c r="M51" i="6" s="1"/>
  <c r="M17" i="6" a="1"/>
  <c r="M24" i="6" a="1"/>
  <c r="M31" i="6" a="1"/>
  <c r="M31" i="6" s="1"/>
  <c r="M45" i="6" a="1"/>
  <c r="M45" i="6" s="1"/>
  <c r="M53" i="6" a="1"/>
  <c r="M53" i="6" s="1"/>
  <c r="M4" i="6" a="1"/>
  <c r="M14" i="6" a="1"/>
  <c r="M35" i="6" a="1"/>
  <c r="M35" i="6" s="1"/>
  <c r="M9" i="6" a="1"/>
  <c r="M16" i="6" a="1"/>
  <c r="M30" i="6" a="1"/>
  <c r="M38" i="6" a="1"/>
  <c r="M38" i="6" s="1"/>
  <c r="M52" i="6" a="1"/>
  <c r="M52" i="6" s="1"/>
  <c r="M10" i="6" a="1"/>
  <c r="M18" i="6" a="1"/>
  <c r="M32" i="6" a="1"/>
  <c r="M32" i="6" s="1"/>
  <c r="M39" i="6" a="1"/>
  <c r="M39" i="6" s="1"/>
  <c r="M46" i="6" a="1"/>
  <c r="M46" i="6" s="1"/>
  <c r="M11" i="6" a="1"/>
  <c r="M25" i="6" a="1"/>
  <c r="M33" i="6" a="1"/>
  <c r="M33" i="6" s="1"/>
  <c r="M47" i="6" a="1"/>
  <c r="M47" i="6" s="1"/>
  <c r="M54" i="6" a="1"/>
  <c r="M54" i="6" s="1"/>
  <c r="M13" i="6" a="1"/>
  <c r="M27" i="6" a="1"/>
  <c r="M34" i="6" a="1"/>
  <c r="M34" i="6" s="1"/>
  <c r="M41" i="6" a="1"/>
  <c r="M41" i="6" s="1"/>
  <c r="M55" i="6" a="1"/>
  <c r="M55" i="6" s="1"/>
  <c r="M6" i="6" a="1"/>
  <c r="M20" i="6" a="1"/>
  <c r="M28" i="6" a="1"/>
  <c r="M42" i="6" a="1"/>
  <c r="M42" i="6" s="1"/>
  <c r="M49" i="6" a="1"/>
  <c r="M49" i="6" s="1"/>
  <c r="M7" i="6" a="1"/>
  <c r="M8" i="6" a="1"/>
  <c r="M29" i="6" a="1"/>
  <c r="M50" i="6" a="1"/>
  <c r="M50" i="6" s="1"/>
  <c r="M12" i="6" a="1"/>
  <c r="M19" i="6" a="1"/>
  <c r="M26" i="6" a="1"/>
  <c r="M40" i="6" a="1"/>
  <c r="M40" i="6" s="1"/>
  <c r="M48" i="6" a="1"/>
  <c r="M48" i="6" s="1"/>
  <c r="M5" i="6" a="1"/>
  <c r="M21" i="6" a="1"/>
  <c r="M43" i="6" a="1"/>
  <c r="M43" i="6" s="1"/>
  <c r="M22" i="6" a="1"/>
  <c r="M36" i="6" a="1"/>
  <c r="M36" i="6" s="1"/>
  <c r="AS41" i="4" a="1"/>
  <c r="AS41" i="4" s="1"/>
  <c r="AS48" i="4" a="1"/>
  <c r="AS48" i="4" s="1"/>
  <c r="AS42" i="4" a="1"/>
  <c r="AS42" i="4" s="1"/>
  <c r="AS55" i="4" a="1"/>
  <c r="AS55" i="4" s="1"/>
  <c r="AS49" i="4" a="1"/>
  <c r="AS49" i="4" s="1"/>
  <c r="AS4" i="4" a="1"/>
  <c r="AS4" i="4" s="1"/>
  <c r="AS43" i="4" a="1"/>
  <c r="AS43" i="4" s="1"/>
  <c r="AS50" i="4" a="1"/>
  <c r="AS50" i="4" s="1"/>
  <c r="AS38" i="4" a="1"/>
  <c r="AS38" i="4" s="1"/>
  <c r="AS51" i="4" a="1"/>
  <c r="AS51" i="4" s="1"/>
  <c r="AS52" i="4" a="1"/>
  <c r="AS52" i="4" s="1"/>
  <c r="AS40" i="4" a="1"/>
  <c r="AS40" i="4" s="1"/>
  <c r="AS54" i="4" a="1"/>
  <c r="AS54" i="4" s="1"/>
  <c r="AS45" i="4" a="1"/>
  <c r="AS45" i="4" s="1"/>
  <c r="AS39" i="4" a="1"/>
  <c r="AS39" i="4" s="1"/>
  <c r="AS53" i="4" a="1"/>
  <c r="AS53" i="4" s="1"/>
  <c r="AS46" i="4" a="1"/>
  <c r="AS46" i="4" s="1"/>
  <c r="AS44" i="4" a="1"/>
  <c r="AS44" i="4" s="1"/>
  <c r="AS47" i="4" a="1"/>
  <c r="AS47" i="4" s="1"/>
  <c r="N4" i="6"/>
  <c r="G8" i="11" s="1" a="1"/>
  <c r="G8" i="11" s="1"/>
  <c r="F4" i="6"/>
  <c r="G8" i="7" s="1" a="1"/>
  <c r="G8" i="7" s="1"/>
  <c r="E50" i="6" a="1"/>
  <c r="E50" i="6" s="1"/>
  <c r="E44" i="6" a="1"/>
  <c r="E44" i="6" s="1"/>
  <c r="E37" i="6" a="1"/>
  <c r="E37" i="6" s="1"/>
  <c r="E31" i="6" a="1"/>
  <c r="E31" i="6" s="1"/>
  <c r="E25" i="6" a="1"/>
  <c r="E19" i="6" a="1"/>
  <c r="E12" i="6" a="1"/>
  <c r="E23" i="6" a="1"/>
  <c r="E54" i="6" a="1"/>
  <c r="E54" i="6" s="1"/>
  <c r="E29" i="6" a="1"/>
  <c r="E9" i="6" a="1"/>
  <c r="E28" i="6" a="1"/>
  <c r="E13" i="6" a="1"/>
  <c r="E43" i="6" a="1"/>
  <c r="E43" i="6" s="1"/>
  <c r="E18" i="6" a="1"/>
  <c r="E11" i="6" a="1"/>
  <c r="E41" i="6" a="1"/>
  <c r="E41" i="6" s="1"/>
  <c r="E35" i="6" a="1"/>
  <c r="E35" i="6" s="1"/>
  <c r="E16" i="6" a="1"/>
  <c r="E53" i="6" a="1"/>
  <c r="E53" i="6" s="1"/>
  <c r="E49" i="6" a="1"/>
  <c r="E49" i="6" s="1"/>
  <c r="E42" i="6" a="1"/>
  <c r="E42" i="6" s="1"/>
  <c r="E36" i="6" a="1"/>
  <c r="E36" i="6" s="1"/>
  <c r="E30" i="6" a="1"/>
  <c r="E24" i="6" a="1"/>
  <c r="E17" i="6" a="1"/>
  <c r="E10" i="6" a="1"/>
  <c r="E47" i="6" a="1"/>
  <c r="E47" i="6" s="1"/>
  <c r="E22" i="6" a="1"/>
  <c r="E8" i="6" a="1"/>
  <c r="E48" i="6" a="1"/>
  <c r="E48" i="6" s="1"/>
  <c r="E52" i="6" a="1"/>
  <c r="E52" i="6" s="1"/>
  <c r="E46" i="6" a="1"/>
  <c r="E46" i="6" s="1"/>
  <c r="E40" i="6" a="1"/>
  <c r="E40" i="6" s="1"/>
  <c r="E34" i="6" a="1"/>
  <c r="E34" i="6" s="1"/>
  <c r="E27" i="6" a="1"/>
  <c r="E21" i="6" a="1"/>
  <c r="E15" i="6" a="1"/>
  <c r="E7" i="6" a="1"/>
  <c r="E33" i="6" a="1"/>
  <c r="E33" i="6" s="1"/>
  <c r="E6" i="6" a="1"/>
  <c r="E51" i="6" a="1"/>
  <c r="E51" i="6" s="1"/>
  <c r="E45" i="6" a="1"/>
  <c r="E45" i="6" s="1"/>
  <c r="E39" i="6" a="1"/>
  <c r="E39" i="6" s="1"/>
  <c r="E32" i="6" a="1"/>
  <c r="E32" i="6" s="1"/>
  <c r="E26" i="6" a="1"/>
  <c r="E20" i="6" a="1"/>
  <c r="E14" i="6" a="1"/>
  <c r="E5" i="6" a="1"/>
  <c r="E38" i="6" a="1"/>
  <c r="E38" i="6" s="1"/>
  <c r="E4" i="6" a="1"/>
  <c r="BB4" i="4" a="1"/>
  <c r="V4" i="4" a="1"/>
  <c r="AT4" i="4"/>
  <c r="N4" i="4" a="1"/>
  <c r="F4" i="4" a="1"/>
  <c r="U17" i="6" l="1"/>
  <c r="F21" i="12" a="1"/>
  <c r="F21" i="12" s="1"/>
  <c r="U29" i="6"/>
  <c r="F33" i="12" a="1"/>
  <c r="F33" i="12" s="1"/>
  <c r="U15" i="6"/>
  <c r="F19" i="12" a="1"/>
  <c r="F19" i="12" s="1"/>
  <c r="U21" i="6"/>
  <c r="F25" i="12" s="1" a="1"/>
  <c r="F25" i="12" s="1"/>
  <c r="U26" i="6"/>
  <c r="F30" i="12" a="1"/>
  <c r="F30" i="12" s="1"/>
  <c r="U7" i="6"/>
  <c r="F11" i="12" a="1"/>
  <c r="F11" i="12" s="1"/>
  <c r="AC5" i="6"/>
  <c r="N9" i="12" a="1"/>
  <c r="N9" i="12" s="1"/>
  <c r="AC26" i="6"/>
  <c r="N30" i="12" s="1" a="1"/>
  <c r="N30" i="12" s="1"/>
  <c r="AC10" i="6"/>
  <c r="N14" i="12" a="1"/>
  <c r="N14" i="12" s="1"/>
  <c r="AC14" i="6"/>
  <c r="N18" i="12" a="1"/>
  <c r="N18" i="12" s="1"/>
  <c r="U18" i="6"/>
  <c r="F22" i="12" s="1" a="1"/>
  <c r="F22" i="12" s="1"/>
  <c r="U10" i="6"/>
  <c r="F14" i="12" s="1" a="1"/>
  <c r="F14" i="12" s="1"/>
  <c r="U9" i="6"/>
  <c r="F13" i="12" a="1"/>
  <c r="F13" i="12" s="1"/>
  <c r="U8" i="6"/>
  <c r="F12" i="12" a="1"/>
  <c r="F12" i="12" s="1"/>
  <c r="U27" i="6"/>
  <c r="F31" i="12" s="1" a="1"/>
  <c r="F31" i="12" s="1"/>
  <c r="AC15" i="6"/>
  <c r="N19" i="12" s="1" a="1"/>
  <c r="N19" i="12" s="1"/>
  <c r="AC20" i="6"/>
  <c r="N24" i="12" s="1" a="1"/>
  <c r="N24" i="12" s="1"/>
  <c r="AC24" i="6"/>
  <c r="N28" i="12" a="1"/>
  <c r="N28" i="12" s="1"/>
  <c r="U16" i="6"/>
  <c r="F20" i="12" s="1" a="1"/>
  <c r="F20" i="12" s="1"/>
  <c r="U30" i="6"/>
  <c r="F34" i="12" s="1" a="1"/>
  <c r="F34" i="12" s="1"/>
  <c r="U14" i="6"/>
  <c r="F18" i="12" a="1"/>
  <c r="F18" i="12" s="1"/>
  <c r="AC25" i="6"/>
  <c r="N29" i="12" a="1"/>
  <c r="N29" i="12" s="1"/>
  <c r="AC9" i="6"/>
  <c r="N13" i="12" a="1"/>
  <c r="N13" i="12" s="1"/>
  <c r="AC30" i="6"/>
  <c r="N34" i="12" a="1"/>
  <c r="N34" i="12" s="1"/>
  <c r="AC4" i="6"/>
  <c r="N8" i="12" s="1" a="1"/>
  <c r="N8" i="12" s="1"/>
  <c r="U6" i="6"/>
  <c r="F10" i="12" a="1"/>
  <c r="F10" i="12" s="1"/>
  <c r="U12" i="6"/>
  <c r="F16" i="12" s="1" a="1"/>
  <c r="F16" i="12" s="1"/>
  <c r="U23" i="6"/>
  <c r="F27" i="12" a="1"/>
  <c r="F27" i="12" s="1"/>
  <c r="AC19" i="6"/>
  <c r="N23" i="12" a="1"/>
  <c r="N23" i="12" s="1"/>
  <c r="AC27" i="6"/>
  <c r="N31" i="12" a="1"/>
  <c r="N31" i="12" s="1"/>
  <c r="AC13" i="6"/>
  <c r="N17" i="12" a="1"/>
  <c r="N17" i="12" s="1"/>
  <c r="U20" i="6"/>
  <c r="F24" i="12" s="1" a="1"/>
  <c r="F24" i="12" s="1"/>
  <c r="AC17" i="6"/>
  <c r="N21" i="12" s="1" a="1"/>
  <c r="N21" i="12" s="1"/>
  <c r="AC29" i="6"/>
  <c r="N33" i="12" a="1"/>
  <c r="N33" i="12" s="1"/>
  <c r="AC12" i="6"/>
  <c r="N16" i="12" a="1"/>
  <c r="N16" i="12" s="1"/>
  <c r="AC23" i="6"/>
  <c r="N27" i="12" a="1"/>
  <c r="N27" i="12" s="1"/>
  <c r="U4" i="6"/>
  <c r="F8" i="12" s="1" a="1"/>
  <c r="F8" i="12" s="1"/>
  <c r="U24" i="6"/>
  <c r="F28" i="12" s="1" a="1"/>
  <c r="F28" i="12" s="1"/>
  <c r="U25" i="6"/>
  <c r="F29" i="12" a="1"/>
  <c r="F29" i="12" s="1"/>
  <c r="AC8" i="6"/>
  <c r="N12" i="12" s="1" a="1"/>
  <c r="N12" i="12" s="1"/>
  <c r="AC22" i="6"/>
  <c r="N26" i="12" s="1" a="1"/>
  <c r="N26" i="12" s="1"/>
  <c r="U5" i="6"/>
  <c r="F9" i="12" a="1"/>
  <c r="F9" i="12" s="1"/>
  <c r="U11" i="6"/>
  <c r="F15" i="12" a="1"/>
  <c r="F15" i="12" s="1"/>
  <c r="U28" i="6"/>
  <c r="F32" i="12" a="1"/>
  <c r="F32" i="12" s="1"/>
  <c r="U19" i="6"/>
  <c r="F23" i="12" s="1" a="1"/>
  <c r="F23" i="12" s="1"/>
  <c r="AC6" i="6"/>
  <c r="N10" i="12" s="1" a="1"/>
  <c r="N10" i="12" s="1"/>
  <c r="AC18" i="6"/>
  <c r="N22" i="12" s="1" a="1"/>
  <c r="N22" i="12" s="1"/>
  <c r="AC11" i="6"/>
  <c r="N15" i="12" a="1"/>
  <c r="N15" i="12" s="1"/>
  <c r="U22" i="6"/>
  <c r="F26" i="12" s="1" a="1"/>
  <c r="F26" i="12" s="1"/>
  <c r="U13" i="6"/>
  <c r="F17" i="12" s="1" a="1"/>
  <c r="F17" i="12" s="1"/>
  <c r="AC16" i="6"/>
  <c r="N20" i="12" a="1"/>
  <c r="N20" i="12" s="1"/>
  <c r="AC28" i="6"/>
  <c r="N32" i="12" a="1"/>
  <c r="N32" i="12" s="1"/>
  <c r="AC7" i="6"/>
  <c r="N11" i="12" s="1" a="1"/>
  <c r="N11" i="12" s="1"/>
  <c r="AC21" i="6"/>
  <c r="N25" i="12" s="1" a="1"/>
  <c r="N25" i="12" s="1"/>
  <c r="AK54" i="4" a="1"/>
  <c r="AK54" i="4" s="1"/>
  <c r="AK44" i="4" a="1"/>
  <c r="AK44" i="4" s="1"/>
  <c r="AK55" i="4" a="1"/>
  <c r="AK55" i="4" s="1"/>
  <c r="AK51" i="4" a="1"/>
  <c r="AK51" i="4" s="1"/>
  <c r="AK47" i="4" a="1"/>
  <c r="AK47" i="4" s="1"/>
  <c r="AK50" i="4" a="1"/>
  <c r="AK50" i="4" s="1"/>
  <c r="AK45" i="4" a="1"/>
  <c r="AK45" i="4" s="1"/>
  <c r="AK46" i="4" a="1"/>
  <c r="AK46" i="4" s="1"/>
  <c r="AK49" i="4" a="1"/>
  <c r="AK49" i="4" s="1"/>
  <c r="AK53" i="4" a="1"/>
  <c r="AK53" i="4" s="1"/>
  <c r="AK48" i="4" a="1"/>
  <c r="AK48" i="4" s="1"/>
  <c r="AK52" i="4" a="1"/>
  <c r="AK52" i="4" s="1"/>
  <c r="AC55" i="4" a="1"/>
  <c r="AC55" i="4" s="1"/>
  <c r="AC47" i="4" a="1"/>
  <c r="AC47" i="4" s="1"/>
  <c r="AC54" i="4" a="1"/>
  <c r="AC54" i="4" s="1"/>
  <c r="AC46" i="4" a="1"/>
  <c r="AC46" i="4" s="1"/>
  <c r="AC51" i="4" a="1"/>
  <c r="AC51" i="4" s="1"/>
  <c r="AC49" i="4" a="1"/>
  <c r="AC49" i="4" s="1"/>
  <c r="AC48" i="4" a="1"/>
  <c r="AC48" i="4" s="1"/>
  <c r="AC53" i="4" a="1"/>
  <c r="AC53" i="4" s="1"/>
  <c r="AC45" i="4" a="1"/>
  <c r="AC45" i="4" s="1"/>
  <c r="AC44" i="4" a="1"/>
  <c r="AC44" i="4" s="1"/>
  <c r="AC50" i="4" a="1"/>
  <c r="AC50" i="4" s="1"/>
  <c r="AC52" i="4" a="1"/>
  <c r="AC52" i="4" s="1"/>
  <c r="M4" i="10"/>
  <c r="F82" i="11" s="1" a="1"/>
  <c r="F82" i="11" s="1"/>
  <c r="M6" i="10"/>
  <c r="F84" i="11" a="1"/>
  <c r="F84" i="11" s="1"/>
  <c r="M5" i="10"/>
  <c r="F83" i="11" s="1" a="1"/>
  <c r="F83" i="11" s="1"/>
  <c r="M7" i="10"/>
  <c r="F85" i="11" a="1"/>
  <c r="F85" i="11" s="1"/>
  <c r="M8" i="10"/>
  <c r="F86" i="11" s="1" a="1"/>
  <c r="F86" i="11" s="1"/>
  <c r="M10" i="10"/>
  <c r="M9" i="10"/>
  <c r="F87" i="11" a="1"/>
  <c r="F87" i="11" s="1"/>
  <c r="M9" i="6"/>
  <c r="M12" i="6"/>
  <c r="F16" i="11" s="1" a="1"/>
  <c r="F16" i="11" s="1"/>
  <c r="M14" i="6"/>
  <c r="M23" i="6"/>
  <c r="M22" i="6"/>
  <c r="M29" i="6"/>
  <c r="F33" i="11" a="1"/>
  <c r="F33" i="11" s="1"/>
  <c r="M4" i="6"/>
  <c r="M15" i="6"/>
  <c r="M25" i="6"/>
  <c r="M19" i="6"/>
  <c r="M8" i="6"/>
  <c r="F12" i="11" a="1"/>
  <c r="F12" i="11" s="1"/>
  <c r="M27" i="6"/>
  <c r="F31" i="11" s="1" a="1"/>
  <c r="F31" i="11" s="1"/>
  <c r="M18" i="6"/>
  <c r="F22" i="11" a="1"/>
  <c r="F22" i="11" s="1"/>
  <c r="M20" i="6"/>
  <c r="M11" i="6"/>
  <c r="F15" i="11" s="1" a="1"/>
  <c r="F15" i="11" s="1"/>
  <c r="M21" i="6"/>
  <c r="F25" i="11" a="1"/>
  <c r="F25" i="11" s="1"/>
  <c r="M7" i="6"/>
  <c r="M13" i="6"/>
  <c r="F17" i="11" a="1"/>
  <c r="F17" i="11" s="1"/>
  <c r="M10" i="6"/>
  <c r="M26" i="6"/>
  <c r="F30" i="11" s="1" a="1"/>
  <c r="F30" i="11" s="1"/>
  <c r="M6" i="6"/>
  <c r="F10" i="11" a="1"/>
  <c r="F10" i="11" s="1"/>
  <c r="M5" i="6"/>
  <c r="F9" i="11" s="1" a="1"/>
  <c r="F9" i="11" s="1"/>
  <c r="M24" i="6"/>
  <c r="F28" i="11" a="1"/>
  <c r="F28" i="11" s="1"/>
  <c r="M28" i="6"/>
  <c r="M30" i="6"/>
  <c r="F34" i="11" s="1" a="1"/>
  <c r="F34" i="11" s="1"/>
  <c r="M17" i="6"/>
  <c r="F21" i="11" a="1"/>
  <c r="F21" i="11" s="1"/>
  <c r="M16" i="6"/>
  <c r="F20" i="11" s="1" a="1"/>
  <c r="F20" i="11" s="1"/>
  <c r="E30" i="6"/>
  <c r="F34" i="7" s="1" a="1"/>
  <c r="F34" i="7" s="1"/>
  <c r="E55" i="10" a="1"/>
  <c r="E55" i="10" s="1"/>
  <c r="E50" i="10" a="1"/>
  <c r="E50" i="10" s="1"/>
  <c r="E45" i="10" a="1"/>
  <c r="E45" i="10" s="1"/>
  <c r="E40" i="10" a="1"/>
  <c r="E40" i="10" s="1"/>
  <c r="E35" i="10" a="1"/>
  <c r="E35" i="10" s="1"/>
  <c r="E30" i="10" a="1"/>
  <c r="E30" i="10" s="1"/>
  <c r="E25" i="10" a="1"/>
  <c r="E25" i="10" s="1"/>
  <c r="E20" i="10" a="1"/>
  <c r="E20" i="10" s="1"/>
  <c r="E15" i="10" a="1"/>
  <c r="E15" i="10" s="1"/>
  <c r="E10" i="10" a="1"/>
  <c r="E5" i="10" a="1"/>
  <c r="E32" i="10" a="1"/>
  <c r="E32" i="10" s="1"/>
  <c r="E22" i="10" a="1"/>
  <c r="E22" i="10" s="1"/>
  <c r="E17" i="10" a="1"/>
  <c r="E17" i="10" s="1"/>
  <c r="E52" i="10" a="1"/>
  <c r="E52" i="10" s="1"/>
  <c r="E47" i="10" a="1"/>
  <c r="E47" i="10" s="1"/>
  <c r="E42" i="10" a="1"/>
  <c r="E42" i="10" s="1"/>
  <c r="E37" i="10" a="1"/>
  <c r="E37" i="10" s="1"/>
  <c r="E27" i="10" a="1"/>
  <c r="E27" i="10" s="1"/>
  <c r="E53" i="10" a="1"/>
  <c r="E53" i="10" s="1"/>
  <c r="E48" i="10" a="1"/>
  <c r="E48" i="10" s="1"/>
  <c r="E43" i="10" a="1"/>
  <c r="E43" i="10" s="1"/>
  <c r="E38" i="10" a="1"/>
  <c r="E38" i="10" s="1"/>
  <c r="E33" i="10" a="1"/>
  <c r="E33" i="10" s="1"/>
  <c r="E28" i="10" a="1"/>
  <c r="E28" i="10" s="1"/>
  <c r="E23" i="10" a="1"/>
  <c r="E23" i="10" s="1"/>
  <c r="E18" i="10" a="1"/>
  <c r="E18" i="10" s="1"/>
  <c r="E13" i="10" a="1"/>
  <c r="E13" i="10" s="1"/>
  <c r="E8" i="10" a="1"/>
  <c r="E12" i="10" a="1"/>
  <c r="E12" i="10" s="1"/>
  <c r="E11" i="10" a="1"/>
  <c r="E11" i="10" s="1"/>
  <c r="E54" i="10" a="1"/>
  <c r="E54" i="10" s="1"/>
  <c r="E44" i="10" a="1"/>
  <c r="E44" i="10" s="1"/>
  <c r="E34" i="10" a="1"/>
  <c r="E34" i="10" s="1"/>
  <c r="E24" i="10" a="1"/>
  <c r="E24" i="10" s="1"/>
  <c r="E7" i="10" a="1"/>
  <c r="E6" i="10" a="1"/>
  <c r="E51" i="10" a="1"/>
  <c r="E51" i="10" s="1"/>
  <c r="E41" i="10" a="1"/>
  <c r="E41" i="10" s="1"/>
  <c r="E31" i="10" a="1"/>
  <c r="E31" i="10" s="1"/>
  <c r="E21" i="10" a="1"/>
  <c r="E21" i="10" s="1"/>
  <c r="E14" i="10" a="1"/>
  <c r="E14" i="10" s="1"/>
  <c r="E49" i="10" a="1"/>
  <c r="E49" i="10" s="1"/>
  <c r="E39" i="10" a="1"/>
  <c r="E39" i="10" s="1"/>
  <c r="E29" i="10" a="1"/>
  <c r="E29" i="10" s="1"/>
  <c r="E19" i="10" a="1"/>
  <c r="E19" i="10" s="1"/>
  <c r="E9" i="10" a="1"/>
  <c r="E4" i="10" a="1"/>
  <c r="E46" i="10" a="1"/>
  <c r="E46" i="10" s="1"/>
  <c r="E36" i="10" a="1"/>
  <c r="E36" i="10" s="1"/>
  <c r="E26" i="10" a="1"/>
  <c r="E26" i="10" s="1"/>
  <c r="E16" i="10" a="1"/>
  <c r="E16" i="10" s="1"/>
  <c r="BA17" i="4" a="1"/>
  <c r="BA17" i="4" s="1"/>
  <c r="BA20" i="4" a="1"/>
  <c r="BA20" i="4" s="1"/>
  <c r="BA11" i="4" a="1"/>
  <c r="BA11" i="4" s="1"/>
  <c r="BA14" i="4" a="1"/>
  <c r="BA14" i="4" s="1"/>
  <c r="BA28" i="4" a="1"/>
  <c r="BA28" i="4" s="1"/>
  <c r="BA36" i="4" a="1"/>
  <c r="BA36" i="4" s="1"/>
  <c r="BA22" i="4" a="1"/>
  <c r="BA22" i="4" s="1"/>
  <c r="BA25" i="4" a="1"/>
  <c r="BA25" i="4" s="1"/>
  <c r="BA8" i="4" a="1"/>
  <c r="BA8" i="4" s="1"/>
  <c r="BA16" i="4" a="1"/>
  <c r="BA16" i="4" s="1"/>
  <c r="BA19" i="4" a="1"/>
  <c r="BA19" i="4" s="1"/>
  <c r="BA33" i="4" a="1"/>
  <c r="BA33" i="4" s="1"/>
  <c r="BA5" i="4" a="1"/>
  <c r="BA5" i="4" s="1"/>
  <c r="BA27" i="4" a="1"/>
  <c r="BA27" i="4" s="1"/>
  <c r="BA30" i="4" a="1"/>
  <c r="BA30" i="4" s="1"/>
  <c r="BA13" i="4" a="1"/>
  <c r="BA13" i="4" s="1"/>
  <c r="BA21" i="4" a="1"/>
  <c r="BA21" i="4" s="1"/>
  <c r="BA24" i="4" a="1"/>
  <c r="BA24" i="4" s="1"/>
  <c r="BA7" i="4" a="1"/>
  <c r="BA7" i="4" s="1"/>
  <c r="BA10" i="4" a="1"/>
  <c r="BA10" i="4" s="1"/>
  <c r="BA32" i="4" a="1"/>
  <c r="BA32" i="4" s="1"/>
  <c r="BA35" i="4" a="1"/>
  <c r="BA35" i="4" s="1"/>
  <c r="BA18" i="4" a="1"/>
  <c r="BA18" i="4" s="1"/>
  <c r="BA26" i="4" a="1"/>
  <c r="BA26" i="4" s="1"/>
  <c r="BA29" i="4" a="1"/>
  <c r="BA29" i="4" s="1"/>
  <c r="BA12" i="4" a="1"/>
  <c r="BA12" i="4" s="1"/>
  <c r="BA15" i="4" a="1"/>
  <c r="BA15" i="4" s="1"/>
  <c r="BA37" i="4" a="1"/>
  <c r="BA37" i="4" s="1"/>
  <c r="BA6" i="4" a="1"/>
  <c r="BA6" i="4" s="1"/>
  <c r="BA9" i="4" a="1"/>
  <c r="BA9" i="4" s="1"/>
  <c r="BA23" i="4" a="1"/>
  <c r="BA23" i="4" s="1"/>
  <c r="BA31" i="4" a="1"/>
  <c r="BA31" i="4" s="1"/>
  <c r="BA34" i="4" a="1"/>
  <c r="BA34" i="4" s="1"/>
  <c r="U13" i="4" a="1"/>
  <c r="U24" i="4" a="1"/>
  <c r="U7" i="4" a="1"/>
  <c r="U10" i="4" a="1"/>
  <c r="U21" i="4" a="1"/>
  <c r="U32" i="4" a="1"/>
  <c r="U35" i="4" a="1"/>
  <c r="U18" i="4" a="1"/>
  <c r="U29" i="4" a="1"/>
  <c r="U12" i="4" a="1"/>
  <c r="U15" i="4" a="1"/>
  <c r="U26" i="4" a="1"/>
  <c r="U37" i="4" a="1"/>
  <c r="U9" i="4" a="1"/>
  <c r="U23" i="4" a="1"/>
  <c r="U34" i="4" a="1"/>
  <c r="U6" i="4" a="1"/>
  <c r="U17" i="4" a="1"/>
  <c r="U20" i="4" a="1"/>
  <c r="U31" i="4" a="1"/>
  <c r="U14" i="4" a="1"/>
  <c r="U28" i="4" a="1"/>
  <c r="U11" i="4" a="1"/>
  <c r="U22" i="4" a="1"/>
  <c r="U25" i="4" a="1"/>
  <c r="U36" i="4" a="1"/>
  <c r="U8" i="4" a="1"/>
  <c r="U19" i="4" a="1"/>
  <c r="U33" i="4" a="1"/>
  <c r="U5" i="4" a="1"/>
  <c r="U16" i="4" a="1"/>
  <c r="U27" i="4" a="1"/>
  <c r="U30" i="4" a="1"/>
  <c r="E24" i="6"/>
  <c r="F28" i="7" s="1" a="1"/>
  <c r="F28" i="7" s="1"/>
  <c r="E18" i="6"/>
  <c r="F22" i="7" s="1" a="1"/>
  <c r="F22" i="7" s="1"/>
  <c r="E25" i="6"/>
  <c r="F29" i="7" s="1" a="1"/>
  <c r="F29" i="7" s="1"/>
  <c r="E13" i="6"/>
  <c r="F17" i="7" s="1" a="1"/>
  <c r="F17" i="7" s="1"/>
  <c r="E28" i="6"/>
  <c r="F32" i="7" s="1" a="1"/>
  <c r="F32" i="7" s="1"/>
  <c r="E4" i="6"/>
  <c r="F8" i="7" s="1" a="1"/>
  <c r="F8" i="7" s="1"/>
  <c r="E6" i="6"/>
  <c r="F10" i="7" s="1" a="1"/>
  <c r="F10" i="7" s="1"/>
  <c r="E9" i="6"/>
  <c r="F13" i="7" s="1" a="1"/>
  <c r="F13" i="7" s="1"/>
  <c r="E8" i="6"/>
  <c r="F12" i="7" s="1" a="1"/>
  <c r="F12" i="7" s="1"/>
  <c r="E29" i="6"/>
  <c r="F33" i="7" s="1" a="1"/>
  <c r="F33" i="7" s="1"/>
  <c r="E5" i="6"/>
  <c r="F9" i="7" s="1" a="1"/>
  <c r="F9" i="7" s="1"/>
  <c r="E7" i="6"/>
  <c r="F11" i="7" s="1" a="1"/>
  <c r="F11" i="7" s="1"/>
  <c r="E22" i="6"/>
  <c r="F26" i="7" s="1" a="1"/>
  <c r="F26" i="7" s="1"/>
  <c r="E16" i="6"/>
  <c r="F20" i="7" s="1" a="1"/>
  <c r="F20" i="7" s="1"/>
  <c r="E14" i="6"/>
  <c r="F18" i="7" s="1" a="1"/>
  <c r="F18" i="7" s="1"/>
  <c r="E15" i="6"/>
  <c r="F19" i="7" s="1" a="1"/>
  <c r="F19" i="7" s="1"/>
  <c r="E23" i="6"/>
  <c r="F27" i="7" s="1" a="1"/>
  <c r="F27" i="7" s="1"/>
  <c r="E20" i="6"/>
  <c r="F24" i="7" s="1" a="1"/>
  <c r="F24" i="7" s="1"/>
  <c r="E21" i="6"/>
  <c r="F25" i="7" s="1" a="1"/>
  <c r="F25" i="7" s="1"/>
  <c r="E10" i="6"/>
  <c r="F14" i="7" s="1" a="1"/>
  <c r="F14" i="7" s="1"/>
  <c r="E12" i="6"/>
  <c r="F16" i="7" s="1" a="1"/>
  <c r="F16" i="7" s="1"/>
  <c r="E26" i="6"/>
  <c r="F30" i="7" s="1" a="1"/>
  <c r="F30" i="7" s="1"/>
  <c r="E27" i="6"/>
  <c r="F31" i="7" s="1" a="1"/>
  <c r="F31" i="7" s="1"/>
  <c r="E17" i="6"/>
  <c r="F21" i="7" s="1" a="1"/>
  <c r="F21" i="7" s="1"/>
  <c r="E11" i="6"/>
  <c r="F15" i="7" s="1" a="1"/>
  <c r="F15" i="7" s="1"/>
  <c r="E19" i="6"/>
  <c r="F23" i="7" s="1" a="1"/>
  <c r="F23" i="7" s="1"/>
  <c r="M5" i="4" a="1"/>
  <c r="M10" i="4" a="1"/>
  <c r="M15" i="4" a="1"/>
  <c r="M20" i="4" a="1"/>
  <c r="M25" i="4" a="1"/>
  <c r="M30" i="4" a="1"/>
  <c r="M35" i="4" a="1"/>
  <c r="M22" i="4" a="1"/>
  <c r="M11" i="4" a="1"/>
  <c r="M26" i="4" a="1"/>
  <c r="M31" i="4" a="1"/>
  <c r="M12" i="4" a="1"/>
  <c r="M27" i="4" a="1"/>
  <c r="M37" i="4" a="1"/>
  <c r="M21" i="4" a="1"/>
  <c r="M9" i="4" a="1"/>
  <c r="M14" i="4" a="1"/>
  <c r="M19" i="4" a="1"/>
  <c r="M24" i="4" a="1"/>
  <c r="M29" i="4" a="1"/>
  <c r="M34" i="4" a="1"/>
  <c r="M7" i="4" a="1"/>
  <c r="M16" i="4" a="1"/>
  <c r="M8" i="4" a="1"/>
  <c r="M13" i="4" a="1"/>
  <c r="M18" i="4" a="1"/>
  <c r="M23" i="4" a="1"/>
  <c r="M28" i="4" a="1"/>
  <c r="M33" i="4" a="1"/>
  <c r="M17" i="4" a="1"/>
  <c r="M32" i="4" a="1"/>
  <c r="M6" i="4" a="1"/>
  <c r="M36" i="4" a="1"/>
  <c r="E5" i="4" a="1"/>
  <c r="E29" i="4" a="1"/>
  <c r="E30" i="4" a="1"/>
  <c r="E34" i="4" a="1"/>
  <c r="E6" i="4" a="1"/>
  <c r="E32" i="4" a="1"/>
  <c r="E26" i="4" a="1"/>
  <c r="E27" i="4" a="1"/>
  <c r="E28" i="4" a="1"/>
  <c r="E7" i="4" a="1"/>
  <c r="E33" i="4" a="1"/>
  <c r="E24" i="4" a="1"/>
  <c r="E25" i="4" a="1"/>
  <c r="E35" i="4" a="1"/>
  <c r="E21" i="4" a="1"/>
  <c r="E22" i="4" a="1"/>
  <c r="E23" i="4" a="1"/>
  <c r="E19" i="4" a="1"/>
  <c r="E20" i="4" a="1"/>
  <c r="E13" i="4" a="1"/>
  <c r="E10" i="4" a="1"/>
  <c r="E16" i="4" a="1"/>
  <c r="E17" i="4" a="1"/>
  <c r="E18" i="4" a="1"/>
  <c r="E11" i="4" a="1"/>
  <c r="E12" i="4" a="1"/>
  <c r="E37" i="4" a="1"/>
  <c r="E8" i="4" a="1"/>
  <c r="E14" i="4" a="1"/>
  <c r="E15" i="4" a="1"/>
  <c r="E36" i="4" a="1"/>
  <c r="E9" i="4" a="1"/>
  <c r="E31" i="4" a="1"/>
  <c r="E43" i="4" a="1"/>
  <c r="E43" i="4" s="1"/>
  <c r="E53" i="4" a="1"/>
  <c r="E53" i="4" s="1"/>
  <c r="E50" i="4" a="1"/>
  <c r="E50" i="4" s="1"/>
  <c r="E44" i="4" a="1"/>
  <c r="E44" i="4" s="1"/>
  <c r="E51" i="4" a="1"/>
  <c r="E51" i="4" s="1"/>
  <c r="E45" i="4" a="1"/>
  <c r="E45" i="4" s="1"/>
  <c r="E38" i="4" a="1"/>
  <c r="E52" i="4" a="1"/>
  <c r="E52" i="4" s="1"/>
  <c r="E46" i="4" a="1"/>
  <c r="E46" i="4" s="1"/>
  <c r="E49" i="4" a="1"/>
  <c r="E49" i="4" s="1"/>
  <c r="E41" i="4" a="1"/>
  <c r="E47" i="4" a="1"/>
  <c r="E47" i="4" s="1"/>
  <c r="E54" i="4" a="1"/>
  <c r="E54" i="4" s="1"/>
  <c r="E48" i="4" a="1"/>
  <c r="E48" i="4" s="1"/>
  <c r="E39" i="4" a="1"/>
  <c r="E40" i="4" a="1"/>
  <c r="E42" i="4" a="1"/>
  <c r="E55" i="4" a="1"/>
  <c r="E55" i="4" s="1"/>
  <c r="E4" i="4" a="1"/>
  <c r="M50" i="4" a="1"/>
  <c r="M50" i="4" s="1"/>
  <c r="M44" i="4" a="1"/>
  <c r="M44" i="4" s="1"/>
  <c r="M51" i="4" a="1"/>
  <c r="M51" i="4" s="1"/>
  <c r="M46" i="4" a="1"/>
  <c r="M46" i="4" s="1"/>
  <c r="M38" i="4" a="1"/>
  <c r="M52" i="4" a="1"/>
  <c r="M52" i="4" s="1"/>
  <c r="M45" i="4" a="1"/>
  <c r="M45" i="4" s="1"/>
  <c r="M53" i="4" a="1"/>
  <c r="M53" i="4" s="1"/>
  <c r="M39" i="4" a="1"/>
  <c r="M54" i="4" a="1"/>
  <c r="M54" i="4" s="1"/>
  <c r="M49" i="4" a="1"/>
  <c r="M49" i="4" s="1"/>
  <c r="M40" i="4" a="1"/>
  <c r="M47" i="4" a="1"/>
  <c r="M47" i="4" s="1"/>
  <c r="M41" i="4" a="1"/>
  <c r="M55" i="4" a="1"/>
  <c r="M55" i="4" s="1"/>
  <c r="M43" i="4" a="1"/>
  <c r="M43" i="4" s="1"/>
  <c r="M48" i="4" a="1"/>
  <c r="M48" i="4" s="1"/>
  <c r="M42" i="4" a="1"/>
  <c r="M4" i="4" a="1"/>
  <c r="U46" i="4" a="1"/>
  <c r="U46" i="4" s="1"/>
  <c r="U40" i="4" a="1"/>
  <c r="U47" i="4" a="1"/>
  <c r="U47" i="4" s="1"/>
  <c r="U53" i="4" a="1"/>
  <c r="U53" i="4" s="1"/>
  <c r="U41" i="4" a="1"/>
  <c r="U42" i="4" a="1"/>
  <c r="U48" i="4" a="1"/>
  <c r="U48" i="4" s="1"/>
  <c r="U54" i="4" a="1"/>
  <c r="U54" i="4" s="1"/>
  <c r="U49" i="4" a="1"/>
  <c r="U49" i="4" s="1"/>
  <c r="U52" i="4" a="1"/>
  <c r="U52" i="4" s="1"/>
  <c r="U43" i="4" a="1"/>
  <c r="U39" i="4" a="1"/>
  <c r="U44" i="4" a="1"/>
  <c r="U44" i="4" s="1"/>
  <c r="U38" i="4" a="1"/>
  <c r="U50" i="4" a="1"/>
  <c r="U50" i="4" s="1"/>
  <c r="U55" i="4" a="1"/>
  <c r="U55" i="4" s="1"/>
  <c r="U51" i="4" a="1"/>
  <c r="U51" i="4" s="1"/>
  <c r="U4" i="4" a="1"/>
  <c r="U45" i="4" a="1"/>
  <c r="U45" i="4" s="1"/>
  <c r="BA47" i="4" a="1"/>
  <c r="BA47" i="4" s="1"/>
  <c r="BA54" i="4" a="1"/>
  <c r="BA54" i="4" s="1"/>
  <c r="BA40" i="4" a="1"/>
  <c r="BA40" i="4" s="1"/>
  <c r="BA48" i="4" a="1"/>
  <c r="BA48" i="4" s="1"/>
  <c r="BA41" i="4" a="1"/>
  <c r="BA41" i="4" s="1"/>
  <c r="BA55" i="4" a="1"/>
  <c r="BA55" i="4" s="1"/>
  <c r="BA42" i="4" a="1"/>
  <c r="BA42" i="4" s="1"/>
  <c r="BA49" i="4" a="1"/>
  <c r="BA49" i="4" s="1"/>
  <c r="BA4" i="4" a="1"/>
  <c r="BA4" i="4" s="1"/>
  <c r="BA43" i="4" a="1"/>
  <c r="BA43" i="4" s="1"/>
  <c r="BA50" i="4" a="1"/>
  <c r="BA50" i="4" s="1"/>
  <c r="BA45" i="4" a="1"/>
  <c r="BA45" i="4" s="1"/>
  <c r="BA51" i="4" a="1"/>
  <c r="BA51" i="4" s="1"/>
  <c r="BA38" i="4" a="1"/>
  <c r="BA38" i="4" s="1"/>
  <c r="BA52" i="4" a="1"/>
  <c r="BA52" i="4" s="1"/>
  <c r="BA39" i="4" a="1"/>
  <c r="BA39" i="4" s="1"/>
  <c r="BA53" i="4" a="1"/>
  <c r="BA53" i="4" s="1"/>
  <c r="BA44" i="4" a="1"/>
  <c r="BA44" i="4" s="1"/>
  <c r="BA46" i="4" a="1"/>
  <c r="BA46" i="4" s="1"/>
  <c r="V4" i="4"/>
  <c r="G39" i="12" s="1" a="1"/>
  <c r="G39" i="12" s="1"/>
  <c r="BB4" i="4"/>
  <c r="F4" i="4"/>
  <c r="G39" i="7" s="1" a="1"/>
  <c r="G39" i="7" s="1"/>
  <c r="N4" i="4"/>
  <c r="G39" i="11" s="1" a="1"/>
  <c r="G39" i="11" s="1"/>
  <c r="B4" i="4" a="1"/>
  <c r="F13" i="11" l="1" a="1"/>
  <c r="F13" i="11" s="1"/>
  <c r="F26" i="11" a="1"/>
  <c r="F26" i="11" s="1"/>
  <c r="F23" i="11" a="1"/>
  <c r="F23" i="11" s="1"/>
  <c r="U36" i="4"/>
  <c r="F71" i="12" s="1" a="1"/>
  <c r="F71" i="12" s="1"/>
  <c r="U32" i="4"/>
  <c r="F67" i="12" a="1"/>
  <c r="F67" i="12" s="1"/>
  <c r="U40" i="4"/>
  <c r="F75" i="12" a="1"/>
  <c r="F75" i="12" s="1"/>
  <c r="U43" i="4"/>
  <c r="F78" i="12" a="1"/>
  <c r="F78" i="12" s="1"/>
  <c r="U22" i="4"/>
  <c r="F57" i="12" s="1" a="1"/>
  <c r="F57" i="12" s="1"/>
  <c r="U9" i="4"/>
  <c r="F44" i="12" a="1"/>
  <c r="F44" i="12" s="1"/>
  <c r="U10" i="4"/>
  <c r="F45" i="12" a="1"/>
  <c r="F45" i="12" s="1"/>
  <c r="U42" i="4"/>
  <c r="F77" i="12" a="1"/>
  <c r="F77" i="12" s="1"/>
  <c r="U33" i="4"/>
  <c r="F68" i="12" a="1"/>
  <c r="F68" i="12" s="1"/>
  <c r="U39" i="4"/>
  <c r="F74" i="12" a="1"/>
  <c r="F74" i="12" s="1"/>
  <c r="U25" i="4"/>
  <c r="F60" i="12" a="1"/>
  <c r="F60" i="12" s="1"/>
  <c r="U11" i="4"/>
  <c r="F46" i="12" a="1"/>
  <c r="F46" i="12" s="1"/>
  <c r="U7" i="4"/>
  <c r="F42" i="12" a="1"/>
  <c r="F42" i="12" s="1"/>
  <c r="U29" i="4"/>
  <c r="F64" i="12" a="1"/>
  <c r="F64" i="12" s="1"/>
  <c r="U38" i="4"/>
  <c r="F73" i="12" a="1"/>
  <c r="F73" i="12" s="1"/>
  <c r="U8" i="4"/>
  <c r="F43" i="12" a="1"/>
  <c r="F43" i="12" s="1"/>
  <c r="U6" i="4"/>
  <c r="F41" i="12" a="1"/>
  <c r="F41" i="12" s="1"/>
  <c r="U35" i="4"/>
  <c r="F70" i="12" a="1"/>
  <c r="F70" i="12" s="1"/>
  <c r="U34" i="4"/>
  <c r="F69" i="12" a="1"/>
  <c r="F69" i="12" s="1"/>
  <c r="U21" i="4"/>
  <c r="F56" i="12" a="1"/>
  <c r="F56" i="12" s="1"/>
  <c r="U30" i="4"/>
  <c r="F65" i="12" a="1"/>
  <c r="F65" i="12" s="1"/>
  <c r="U37" i="4"/>
  <c r="F72" i="12" a="1"/>
  <c r="F72" i="12" s="1"/>
  <c r="U27" i="4"/>
  <c r="F62" i="12" a="1"/>
  <c r="F62" i="12" s="1"/>
  <c r="U28" i="4"/>
  <c r="F63" i="12" a="1"/>
  <c r="F63" i="12" s="1"/>
  <c r="U26" i="4"/>
  <c r="F61" i="12" a="1"/>
  <c r="F61" i="12" s="1"/>
  <c r="U24" i="4"/>
  <c r="F59" i="12" a="1"/>
  <c r="F59" i="12" s="1"/>
  <c r="U41" i="4"/>
  <c r="F76" i="12" a="1"/>
  <c r="F76" i="12" s="1"/>
  <c r="U19" i="4"/>
  <c r="F54" i="12" a="1"/>
  <c r="F54" i="12" s="1"/>
  <c r="U4" i="4"/>
  <c r="F39" i="12" a="1"/>
  <c r="F39" i="12" s="1"/>
  <c r="U16" i="4"/>
  <c r="F51" i="12" a="1"/>
  <c r="F51" i="12" s="1"/>
  <c r="U14" i="4"/>
  <c r="F49" i="12" a="1"/>
  <c r="F49" i="12" s="1"/>
  <c r="U15" i="4"/>
  <c r="F50" i="12" a="1"/>
  <c r="F50" i="12" s="1"/>
  <c r="U13" i="4"/>
  <c r="F48" i="12" a="1"/>
  <c r="F48" i="12" s="1"/>
  <c r="U20" i="4"/>
  <c r="F55" i="12" a="1"/>
  <c r="F55" i="12" s="1"/>
  <c r="U17" i="4"/>
  <c r="F52" i="12" a="1"/>
  <c r="F52" i="12" s="1"/>
  <c r="U18" i="4"/>
  <c r="F53" i="12" a="1"/>
  <c r="F53" i="12" s="1"/>
  <c r="U23" i="4"/>
  <c r="F58" i="12" a="1"/>
  <c r="F58" i="12" s="1"/>
  <c r="U5" i="4"/>
  <c r="F40" i="12" a="1"/>
  <c r="F40" i="12" s="1"/>
  <c r="U31" i="4"/>
  <c r="F66" i="12" a="1"/>
  <c r="F66" i="12" s="1"/>
  <c r="U12" i="4"/>
  <c r="F47" i="12" a="1"/>
  <c r="F47" i="12" s="1"/>
  <c r="F32" i="11" a="1"/>
  <c r="F32" i="11" s="1"/>
  <c r="F14" i="11" a="1"/>
  <c r="F14" i="11" s="1"/>
  <c r="F24" i="11" a="1"/>
  <c r="F24" i="11" s="1"/>
  <c r="F29" i="11" a="1"/>
  <c r="F29" i="11" s="1"/>
  <c r="F27" i="11" a="1"/>
  <c r="F27" i="11" s="1"/>
  <c r="F88" i="11" a="1"/>
  <c r="F88" i="11" s="1"/>
  <c r="F19" i="11" a="1"/>
  <c r="F19" i="11" s="1"/>
  <c r="F18" i="11" a="1"/>
  <c r="F18" i="11" s="1"/>
  <c r="F11" i="11" a="1"/>
  <c r="F11" i="11" s="1"/>
  <c r="F8" i="11" a="1"/>
  <c r="F8" i="11" s="1"/>
  <c r="M33" i="4"/>
  <c r="F68" i="11" s="1" a="1"/>
  <c r="F68" i="11" s="1"/>
  <c r="M24" i="4"/>
  <c r="F59" i="11" s="1" a="1"/>
  <c r="F59" i="11" s="1"/>
  <c r="M11" i="4"/>
  <c r="F46" i="11" s="1" a="1"/>
  <c r="F46" i="11" s="1"/>
  <c r="M40" i="4"/>
  <c r="F75" i="11" s="1" a="1"/>
  <c r="F75" i="11" s="1"/>
  <c r="M23" i="4"/>
  <c r="F58" i="11" s="1" a="1"/>
  <c r="F58" i="11" s="1"/>
  <c r="M14" i="4"/>
  <c r="F49" i="11" s="1" a="1"/>
  <c r="F49" i="11" s="1"/>
  <c r="M35" i="4"/>
  <c r="F70" i="11" s="1" a="1"/>
  <c r="F70" i="11" s="1"/>
  <c r="M28" i="4"/>
  <c r="F63" i="11" s="1" a="1"/>
  <c r="F63" i="11" s="1"/>
  <c r="M18" i="4"/>
  <c r="F53" i="11" s="1" a="1"/>
  <c r="F53" i="11" s="1"/>
  <c r="M9" i="4"/>
  <c r="F44" i="11" s="1" a="1"/>
  <c r="F44" i="11" s="1"/>
  <c r="M30" i="4"/>
  <c r="F65" i="11" s="1" a="1"/>
  <c r="F65" i="11" s="1"/>
  <c r="M20" i="4"/>
  <c r="F55" i="11" s="1" a="1"/>
  <c r="F55" i="11" s="1"/>
  <c r="M29" i="4"/>
  <c r="F64" i="11" s="1" a="1"/>
  <c r="F64" i="11" s="1"/>
  <c r="M13" i="4"/>
  <c r="F48" i="11" s="1" a="1"/>
  <c r="F48" i="11" s="1"/>
  <c r="M42" i="4"/>
  <c r="F77" i="11" s="1" a="1"/>
  <c r="F77" i="11" s="1"/>
  <c r="M36" i="4"/>
  <c r="F71" i="11" s="1" a="1"/>
  <c r="F71" i="11" s="1"/>
  <c r="M16" i="4"/>
  <c r="F51" i="11" s="1" a="1"/>
  <c r="F51" i="11" s="1"/>
  <c r="M27" i="4"/>
  <c r="F62" i="11" s="1" a="1"/>
  <c r="F62" i="11" s="1"/>
  <c r="M15" i="4"/>
  <c r="F50" i="11" s="1" a="1"/>
  <c r="F50" i="11" s="1"/>
  <c r="M17" i="4"/>
  <c r="F52" i="11" s="1" a="1"/>
  <c r="F52" i="11" s="1"/>
  <c r="M41" i="4"/>
  <c r="F76" i="11" s="1" a="1"/>
  <c r="F76" i="11" s="1"/>
  <c r="M22" i="4"/>
  <c r="F57" i="11" s="1" a="1"/>
  <c r="F57" i="11" s="1"/>
  <c r="M25" i="4"/>
  <c r="F60" i="11" s="1" a="1"/>
  <c r="F60" i="11" s="1"/>
  <c r="M4" i="4"/>
  <c r="F39" i="11" s="1" a="1"/>
  <c r="F39" i="11" s="1"/>
  <c r="M8" i="4"/>
  <c r="F43" i="11" s="1" a="1"/>
  <c r="F43" i="11" s="1"/>
  <c r="M6" i="4"/>
  <c r="F41" i="11" s="1" a="1"/>
  <c r="F41" i="11" s="1"/>
  <c r="M7" i="4"/>
  <c r="F42" i="11" s="1" a="1"/>
  <c r="F42" i="11" s="1"/>
  <c r="M12" i="4"/>
  <c r="F47" i="11" s="1" a="1"/>
  <c r="F47" i="11" s="1"/>
  <c r="M10" i="4"/>
  <c r="F45" i="11" s="1" a="1"/>
  <c r="F45" i="11" s="1"/>
  <c r="M38" i="4"/>
  <c r="F73" i="11" s="1" a="1"/>
  <c r="F73" i="11" s="1"/>
  <c r="M26" i="4"/>
  <c r="F61" i="11" s="1" a="1"/>
  <c r="F61" i="11" s="1"/>
  <c r="M19" i="4"/>
  <c r="F54" i="11" s="1" a="1"/>
  <c r="F54" i="11" s="1"/>
  <c r="M21" i="4"/>
  <c r="F56" i="11" s="1" a="1"/>
  <c r="F56" i="11" s="1"/>
  <c r="M39" i="4"/>
  <c r="F74" i="11" s="1" a="1"/>
  <c r="F74" i="11" s="1"/>
  <c r="M37" i="4"/>
  <c r="F72" i="11" s="1" a="1"/>
  <c r="F72" i="11" s="1"/>
  <c r="M32" i="4"/>
  <c r="F67" i="11" s="1" a="1"/>
  <c r="F67" i="11" s="1"/>
  <c r="M34" i="4"/>
  <c r="F69" i="11" s="1" a="1"/>
  <c r="F69" i="11" s="1"/>
  <c r="M31" i="4"/>
  <c r="F66" i="11" s="1" a="1"/>
  <c r="F66" i="11" s="1"/>
  <c r="M5" i="4"/>
  <c r="F40" i="11" s="1" a="1"/>
  <c r="F40" i="11" s="1"/>
  <c r="E39" i="4"/>
  <c r="F74" i="7" s="1" a="1"/>
  <c r="F74" i="7" s="1"/>
  <c r="E42" i="4"/>
  <c r="F77" i="7" s="1" a="1"/>
  <c r="F77" i="7" s="1"/>
  <c r="E38" i="4"/>
  <c r="F73" i="7" s="1" a="1"/>
  <c r="F73" i="7" s="1"/>
  <c r="E40" i="4"/>
  <c r="F75" i="7" s="1" a="1"/>
  <c r="F75" i="7" s="1"/>
  <c r="E41" i="4"/>
  <c r="F76" i="7" s="1" a="1"/>
  <c r="F76" i="7" s="1"/>
  <c r="E9" i="10"/>
  <c r="F87" i="7" s="1" a="1"/>
  <c r="F87" i="7" s="1"/>
  <c r="E5" i="10"/>
  <c r="F83" i="7" s="1" a="1"/>
  <c r="F83" i="7" s="1"/>
  <c r="E6" i="10"/>
  <c r="F84" i="7" s="1" a="1"/>
  <c r="F84" i="7" s="1"/>
  <c r="E7" i="10"/>
  <c r="F85" i="7" s="1" a="1"/>
  <c r="F85" i="7" s="1"/>
  <c r="E10" i="10"/>
  <c r="F88" i="7" s="1" a="1"/>
  <c r="F88" i="7" s="1"/>
  <c r="E4" i="10"/>
  <c r="F82" i="7" s="1" a="1"/>
  <c r="F82" i="7" s="1"/>
  <c r="E8" i="10"/>
  <c r="F86" i="7" s="1" a="1"/>
  <c r="F86" i="7" s="1"/>
  <c r="E29" i="4"/>
  <c r="F64" i="7" s="1" a="1"/>
  <c r="F64" i="7" s="1"/>
  <c r="E23" i="4"/>
  <c r="F58" i="7" s="1" a="1"/>
  <c r="F58" i="7" s="1"/>
  <c r="E22" i="4"/>
  <c r="F57" i="7" s="1" a="1"/>
  <c r="F57" i="7" s="1"/>
  <c r="E21" i="4"/>
  <c r="F56" i="7" s="1" a="1"/>
  <c r="F56" i="7" s="1"/>
  <c r="E31" i="4"/>
  <c r="F66" i="7" s="1" a="1"/>
  <c r="F66" i="7" s="1"/>
  <c r="E25" i="4"/>
  <c r="F60" i="7" s="1" a="1"/>
  <c r="F60" i="7" s="1"/>
  <c r="E24" i="4"/>
  <c r="F59" i="7" s="1" a="1"/>
  <c r="F59" i="7" s="1"/>
  <c r="E36" i="4"/>
  <c r="F71" i="7" s="1" a="1"/>
  <c r="F71" i="7" s="1"/>
  <c r="E10" i="4"/>
  <c r="F45" i="7" s="1" a="1"/>
  <c r="F45" i="7" s="1"/>
  <c r="E33" i="4"/>
  <c r="F68" i="7" s="1" a="1"/>
  <c r="F68" i="7" s="1"/>
  <c r="E5" i="4"/>
  <c r="F40" i="7" s="1" a="1"/>
  <c r="F40" i="7" s="1"/>
  <c r="E26" i="4"/>
  <c r="F61" i="7" s="1" a="1"/>
  <c r="F61" i="7" s="1"/>
  <c r="E12" i="4"/>
  <c r="F47" i="7" s="1" a="1"/>
  <c r="F47" i="7" s="1"/>
  <c r="E11" i="4"/>
  <c r="F46" i="7" s="1" a="1"/>
  <c r="F46" i="7" s="1"/>
  <c r="E35" i="4"/>
  <c r="F70" i="7" s="1" a="1"/>
  <c r="F70" i="7" s="1"/>
  <c r="E30" i="4"/>
  <c r="F65" i="7" s="1" a="1"/>
  <c r="F65" i="7" s="1"/>
  <c r="E9" i="4"/>
  <c r="F44" i="7" s="1" a="1"/>
  <c r="F44" i="7" s="1"/>
  <c r="E15" i="4"/>
  <c r="F50" i="7" s="1" a="1"/>
  <c r="F50" i="7" s="1"/>
  <c r="E13" i="4"/>
  <c r="F48" i="7" s="1" a="1"/>
  <c r="F48" i="7" s="1"/>
  <c r="E7" i="4"/>
  <c r="F42" i="7" s="1" a="1"/>
  <c r="F42" i="7" s="1"/>
  <c r="E37" i="4"/>
  <c r="F72" i="7" s="1" a="1"/>
  <c r="F72" i="7" s="1"/>
  <c r="E32" i="4"/>
  <c r="F67" i="7" s="1" a="1"/>
  <c r="F67" i="7" s="1"/>
  <c r="E6" i="4"/>
  <c r="F41" i="7" s="1" a="1"/>
  <c r="F41" i="7" s="1"/>
  <c r="E18" i="4"/>
  <c r="F53" i="7" s="1" a="1"/>
  <c r="F53" i="7" s="1"/>
  <c r="E4" i="4"/>
  <c r="F39" i="7" s="1" a="1"/>
  <c r="F39" i="7" s="1"/>
  <c r="E16" i="4"/>
  <c r="F51" i="7" s="1" a="1"/>
  <c r="F51" i="7" s="1"/>
  <c r="E14" i="4"/>
  <c r="F49" i="7" s="1" a="1"/>
  <c r="F49" i="7" s="1"/>
  <c r="E20" i="4"/>
  <c r="F55" i="7" s="1" a="1"/>
  <c r="F55" i="7" s="1"/>
  <c r="E28" i="4"/>
  <c r="F63" i="7" s="1" a="1"/>
  <c r="F63" i="7" s="1"/>
  <c r="E34" i="4"/>
  <c r="F69" i="7" s="1" a="1"/>
  <c r="F69" i="7" s="1"/>
  <c r="E17" i="4"/>
  <c r="F52" i="7" s="1" a="1"/>
  <c r="F52" i="7" s="1"/>
  <c r="E8" i="4"/>
  <c r="F43" i="7" s="1" a="1"/>
  <c r="F43" i="7" s="1"/>
  <c r="E19" i="4"/>
  <c r="F54" i="7" s="1" a="1"/>
  <c r="F54" i="7" s="1"/>
  <c r="E27" i="4"/>
  <c r="F62" i="7" s="1" a="1"/>
  <c r="F62" i="7" s="1"/>
  <c r="A5" i="4" a="1"/>
  <c r="A11" i="4" a="1"/>
  <c r="A22" i="4" a="1"/>
  <c r="A33" i="4" a="1"/>
  <c r="A44" i="4" a="1"/>
  <c r="A44" i="4" s="1"/>
  <c r="A55" i="4" a="1"/>
  <c r="A55" i="4" s="1"/>
  <c r="A35" i="4" a="1"/>
  <c r="A6" i="4" a="1"/>
  <c r="A17" i="4" a="1"/>
  <c r="A28" i="4" a="1"/>
  <c r="A39" i="4" a="1"/>
  <c r="A50" i="4" a="1"/>
  <c r="A50" i="4" s="1"/>
  <c r="A4" i="4" a="1"/>
  <c r="A13" i="4" a="1"/>
  <c r="A12" i="4" a="1"/>
  <c r="A23" i="4" a="1"/>
  <c r="A34" i="4" a="1"/>
  <c r="A45" i="4" a="1"/>
  <c r="A45" i="4" s="1"/>
  <c r="A51" i="4" a="1"/>
  <c r="A51" i="4" s="1"/>
  <c r="A41" i="4" a="1"/>
  <c r="A7" i="4" a="1"/>
  <c r="A18" i="4" a="1"/>
  <c r="A29" i="4" a="1"/>
  <c r="A40" i="4" a="1"/>
  <c r="A46" i="4" a="1"/>
  <c r="A46" i="4" s="1"/>
  <c r="A24" i="4" a="1"/>
  <c r="A8" i="4" a="1"/>
  <c r="A19" i="4" a="1"/>
  <c r="A30" i="4" a="1"/>
  <c r="A52" i="4" a="1"/>
  <c r="A52" i="4" s="1"/>
  <c r="A47" i="4" a="1"/>
  <c r="A47" i="4" s="1"/>
  <c r="A31" i="4" a="1"/>
  <c r="A42" i="4" a="1"/>
  <c r="A10" i="4" a="1"/>
  <c r="A36" i="4" a="1"/>
  <c r="A26" i="4" a="1"/>
  <c r="A48" i="4" a="1"/>
  <c r="A48" i="4" s="1"/>
  <c r="A9" i="4" a="1"/>
  <c r="A20" i="4" a="1"/>
  <c r="A53" i="4" a="1"/>
  <c r="A53" i="4" s="1"/>
  <c r="A54" i="4" a="1"/>
  <c r="A54" i="4" s="1"/>
  <c r="A14" i="4" a="1"/>
  <c r="A37" i="4" a="1"/>
  <c r="A21" i="4" a="1"/>
  <c r="A32" i="4" a="1"/>
  <c r="A43" i="4" a="1"/>
  <c r="A25" i="4" a="1"/>
  <c r="A16" i="4" a="1"/>
  <c r="A49" i="4" a="1"/>
  <c r="A49" i="4" s="1"/>
  <c r="A15" i="4" a="1"/>
  <c r="A27" i="4" a="1"/>
  <c r="A38" i="4" a="1"/>
  <c r="B4" i="4"/>
  <c r="C39" i="7" s="1" a="1"/>
  <c r="C39" i="7" s="1"/>
  <c r="B4" i="6" a="1"/>
  <c r="B69" i="13" l="1" a="1"/>
  <c r="B69" i="13" s="1"/>
  <c r="B52" i="13" a="1"/>
  <c r="B52" i="13" s="1"/>
  <c r="B40" i="13" a="1"/>
  <c r="B40" i="13" s="1"/>
  <c r="B41" i="13" a="1"/>
  <c r="B41" i="13" s="1"/>
  <c r="B51" i="13" a="1"/>
  <c r="B51" i="13" s="1"/>
  <c r="B55" i="13" a="1"/>
  <c r="B55" i="13" s="1"/>
  <c r="C8" i="13" a="1"/>
  <c r="C8" i="13" s="1"/>
  <c r="B44" i="13" a="1"/>
  <c r="B44" i="13" s="1"/>
  <c r="C39" i="13" a="1"/>
  <c r="C39" i="13" s="1"/>
  <c r="B60" i="13" a="1"/>
  <c r="B60" i="13" s="1"/>
  <c r="B64" i="13" a="1"/>
  <c r="B64" i="13" s="1"/>
  <c r="B76" i="13" a="1"/>
  <c r="B76" i="13" s="1"/>
  <c r="B68" i="13" a="1"/>
  <c r="B68" i="13" s="1"/>
  <c r="B56" i="13" a="1"/>
  <c r="B56" i="13" s="1"/>
  <c r="B72" i="13" a="1"/>
  <c r="B72" i="13" s="1"/>
  <c r="B74" i="13" a="1"/>
  <c r="B74" i="13" s="1"/>
  <c r="A43" i="4"/>
  <c r="B78" i="12" a="1"/>
  <c r="B78" i="12" s="1"/>
  <c r="C39" i="12" a="1"/>
  <c r="C39" i="12" s="1"/>
  <c r="C39" i="11" a="1"/>
  <c r="C39" i="11" s="1"/>
  <c r="A38" i="4"/>
  <c r="B73" i="7" s="1" a="1"/>
  <c r="B73" i="7" s="1"/>
  <c r="A39" i="4"/>
  <c r="B74" i="7" s="1" a="1"/>
  <c r="B74" i="7" s="1"/>
  <c r="A41" i="4"/>
  <c r="B76" i="7" s="1" a="1"/>
  <c r="B76" i="7" s="1"/>
  <c r="A40" i="4"/>
  <c r="B75" i="7" s="1" a="1"/>
  <c r="B75" i="7" s="1"/>
  <c r="A42" i="4"/>
  <c r="B77" i="7" s="1" a="1"/>
  <c r="B77" i="7" s="1"/>
  <c r="A17" i="4"/>
  <c r="B52" i="7" s="1" a="1"/>
  <c r="B52" i="7" s="1"/>
  <c r="A16" i="4"/>
  <c r="B51" i="7" s="1" a="1"/>
  <c r="B51" i="7" s="1"/>
  <c r="A9" i="4"/>
  <c r="B44" i="7" s="1" a="1"/>
  <c r="B44" i="7" s="1"/>
  <c r="A19" i="4"/>
  <c r="B54" i="7" s="1" a="1"/>
  <c r="B54" i="7" s="1"/>
  <c r="A6" i="4"/>
  <c r="B41" i="7" s="1" a="1"/>
  <c r="B41" i="7" s="1"/>
  <c r="A8" i="4"/>
  <c r="B43" i="7" s="1" a="1"/>
  <c r="B43" i="7" s="1"/>
  <c r="A34" i="4"/>
  <c r="B69" i="7" s="1" a="1"/>
  <c r="B69" i="7" s="1"/>
  <c r="A35" i="4"/>
  <c r="B70" i="7" s="1" a="1"/>
  <c r="B70" i="7" s="1"/>
  <c r="A25" i="4"/>
  <c r="B60" i="7" s="1" a="1"/>
  <c r="B60" i="7" s="1"/>
  <c r="A24" i="4"/>
  <c r="B59" i="7" s="1" a="1"/>
  <c r="B59" i="7" s="1"/>
  <c r="A23" i="4"/>
  <c r="B58" i="7" s="1" a="1"/>
  <c r="B58" i="7" s="1"/>
  <c r="A30" i="4"/>
  <c r="B65" i="7" s="1" a="1"/>
  <c r="B65" i="7" s="1"/>
  <c r="A36" i="4"/>
  <c r="B71" i="7" s="1" a="1"/>
  <c r="B71" i="7" s="1"/>
  <c r="A12" i="4"/>
  <c r="B47" i="7" s="1" a="1"/>
  <c r="B47" i="7" s="1"/>
  <c r="A13" i="4"/>
  <c r="B48" i="7" s="1" a="1"/>
  <c r="B48" i="7" s="1"/>
  <c r="A33" i="4"/>
  <c r="B68" i="7" s="1" a="1"/>
  <c r="B68" i="7" s="1"/>
  <c r="A21" i="4"/>
  <c r="B56" i="7" s="1" a="1"/>
  <c r="B56" i="7" s="1"/>
  <c r="A22" i="4"/>
  <c r="B57" i="7" s="1" a="1"/>
  <c r="B57" i="7" s="1"/>
  <c r="A20" i="4"/>
  <c r="B55" i="7" s="1" a="1"/>
  <c r="B55" i="7" s="1"/>
  <c r="A26" i="4"/>
  <c r="B61" i="7" s="1" a="1"/>
  <c r="B61" i="7" s="1"/>
  <c r="A37" i="4"/>
  <c r="B72" i="7" s="1" a="1"/>
  <c r="B72" i="7" s="1"/>
  <c r="A14" i="4"/>
  <c r="B49" i="7" s="1" a="1"/>
  <c r="B49" i="7" s="1"/>
  <c r="A18" i="4"/>
  <c r="B53" i="7" s="1" a="1"/>
  <c r="B53" i="7" s="1"/>
  <c r="A11" i="4"/>
  <c r="B46" i="7" s="1" a="1"/>
  <c r="B46" i="7" s="1"/>
  <c r="A10" i="4"/>
  <c r="B45" i="7" s="1" a="1"/>
  <c r="B45" i="7" s="1"/>
  <c r="A4" i="4"/>
  <c r="B39" i="7" s="1" a="1"/>
  <c r="B39" i="7" s="1"/>
  <c r="A27" i="4"/>
  <c r="B62" i="7" s="1" a="1"/>
  <c r="B62" i="7" s="1"/>
  <c r="A7" i="4"/>
  <c r="B42" i="7" s="1" a="1"/>
  <c r="B42" i="7" s="1"/>
  <c r="A5" i="4"/>
  <c r="B40" i="7" s="1" a="1"/>
  <c r="B40" i="7" s="1"/>
  <c r="A32" i="4"/>
  <c r="B67" i="7" s="1" a="1"/>
  <c r="B67" i="7" s="1"/>
  <c r="A29" i="4"/>
  <c r="B64" i="7" s="1" a="1"/>
  <c r="B64" i="7" s="1"/>
  <c r="A31" i="4"/>
  <c r="B66" i="7" s="1" a="1"/>
  <c r="B66" i="7" s="1"/>
  <c r="A15" i="4"/>
  <c r="B50" i="7" s="1" a="1"/>
  <c r="B50" i="7" s="1"/>
  <c r="A28" i="4"/>
  <c r="B63" i="7" s="1" a="1"/>
  <c r="B63" i="7" s="1"/>
  <c r="A5" i="6" a="1"/>
  <c r="A11" i="6" a="1"/>
  <c r="A22" i="6" a="1"/>
  <c r="A33" i="6" a="1"/>
  <c r="A33" i="6" s="1"/>
  <c r="A44" i="6" a="1"/>
  <c r="A44" i="6" s="1"/>
  <c r="A29" i="6" a="1"/>
  <c r="A46" i="6" a="1"/>
  <c r="A46" i="6" s="1"/>
  <c r="A24" i="6" a="1"/>
  <c r="A52" i="6" a="1"/>
  <c r="A52" i="6" s="1"/>
  <c r="A8" i="6" a="1"/>
  <c r="A30" i="6" a="1"/>
  <c r="A47" i="6" a="1"/>
  <c r="A47" i="6" s="1"/>
  <c r="A49" i="6" a="1"/>
  <c r="A49" i="6" s="1"/>
  <c r="A6" i="6" a="1"/>
  <c r="A17" i="6" a="1"/>
  <c r="A28" i="6" a="1"/>
  <c r="A39" i="6" a="1"/>
  <c r="A39" i="6" s="1"/>
  <c r="A50" i="6" a="1"/>
  <c r="A50" i="6" s="1"/>
  <c r="A18" i="6" a="1"/>
  <c r="A40" i="6" a="1"/>
  <c r="A40" i="6" s="1"/>
  <c r="A35" i="6" a="1"/>
  <c r="A35" i="6" s="1"/>
  <c r="A36" i="6" a="1"/>
  <c r="A36" i="6" s="1"/>
  <c r="A27" i="6" a="1"/>
  <c r="A12" i="6" a="1"/>
  <c r="A23" i="6" a="1"/>
  <c r="A34" i="6" a="1"/>
  <c r="A34" i="6" s="1"/>
  <c r="A45" i="6" a="1"/>
  <c r="A45" i="6" s="1"/>
  <c r="A51" i="6" a="1"/>
  <c r="A51" i="6" s="1"/>
  <c r="A7" i="6" a="1"/>
  <c r="A13" i="6" a="1"/>
  <c r="A41" i="6" a="1"/>
  <c r="A41" i="6" s="1"/>
  <c r="A19" i="6" a="1"/>
  <c r="A16" i="6" a="1"/>
  <c r="A14" i="6" a="1"/>
  <c r="A25" i="6" a="1"/>
  <c r="A31" i="6" a="1"/>
  <c r="A31" i="6" s="1"/>
  <c r="A42" i="6" a="1"/>
  <c r="A42" i="6" s="1"/>
  <c r="A53" i="6" a="1"/>
  <c r="A53" i="6" s="1"/>
  <c r="A9" i="6" a="1"/>
  <c r="A20" i="6" a="1"/>
  <c r="A26" i="6" a="1"/>
  <c r="A37" i="6" a="1"/>
  <c r="A37" i="6" s="1"/>
  <c r="A48" i="6" a="1"/>
  <c r="A48" i="6" s="1"/>
  <c r="A15" i="6" a="1"/>
  <c r="A21" i="6" a="1"/>
  <c r="A32" i="6" a="1"/>
  <c r="A32" i="6" s="1"/>
  <c r="A43" i="6" a="1"/>
  <c r="A43" i="6" s="1"/>
  <c r="A4" i="6" a="1"/>
  <c r="A10" i="6" a="1"/>
  <c r="A38" i="6" a="1"/>
  <c r="A38" i="6" s="1"/>
  <c r="B4" i="6"/>
  <c r="C8" i="7" s="1" a="1"/>
  <c r="C8" i="7" s="1"/>
  <c r="B27" i="13" l="1" a="1"/>
  <c r="B27" i="13" s="1"/>
  <c r="B16" i="13" a="1"/>
  <c r="B16" i="13" s="1"/>
  <c r="B33" i="13" a="1"/>
  <c r="B33" i="13" s="1"/>
  <c r="B57" i="13" a="1"/>
  <c r="B57" i="13" s="1"/>
  <c r="B54" i="13" a="1"/>
  <c r="B54" i="13" s="1"/>
  <c r="B39" i="13" a="1"/>
  <c r="B39" i="13" s="1"/>
  <c r="B77" i="13" a="1"/>
  <c r="B77" i="13" s="1"/>
  <c r="B46" i="13" a="1"/>
  <c r="B46" i="13" s="1"/>
  <c r="B62" i="13" a="1"/>
  <c r="B62" i="13" s="1"/>
  <c r="B61" i="13" a="1"/>
  <c r="B61" i="13" s="1"/>
  <c r="B42" i="13" a="1"/>
  <c r="B42" i="13" s="1"/>
  <c r="B58" i="13" a="1"/>
  <c r="B58" i="13" s="1"/>
  <c r="B45" i="13" a="1"/>
  <c r="B45" i="13" s="1"/>
  <c r="B63" i="13" a="1"/>
  <c r="B63" i="13" s="1"/>
  <c r="B31" i="13" a="1"/>
  <c r="B31" i="13" s="1"/>
  <c r="B25" i="13" a="1"/>
  <c r="B25" i="13" s="1"/>
  <c r="B43" i="13" a="1"/>
  <c r="B43" i="13" s="1"/>
  <c r="B66" i="13" a="1"/>
  <c r="B66" i="13" s="1"/>
  <c r="B65" i="13" a="1"/>
  <c r="B65" i="13" s="1"/>
  <c r="B48" i="13" a="1"/>
  <c r="B48" i="13" s="1"/>
  <c r="B70" i="13" a="1"/>
  <c r="B70" i="13" s="1"/>
  <c r="B75" i="13" a="1"/>
  <c r="B75" i="13" s="1"/>
  <c r="B49" i="13" a="1"/>
  <c r="B49" i="13" s="1"/>
  <c r="B59" i="13" a="1"/>
  <c r="B59" i="13" s="1"/>
  <c r="B71" i="13" a="1"/>
  <c r="B71" i="13" s="1"/>
  <c r="B67" i="13" a="1"/>
  <c r="B67" i="13" s="1"/>
  <c r="B53" i="13" a="1"/>
  <c r="B53" i="13" s="1"/>
  <c r="B47" i="13" a="1"/>
  <c r="B47" i="13" s="1"/>
  <c r="B73" i="13" a="1"/>
  <c r="B73" i="13" s="1"/>
  <c r="B50" i="13" a="1"/>
  <c r="B50" i="13" s="1"/>
  <c r="B66" i="12" a="1"/>
  <c r="B66" i="12" s="1"/>
  <c r="B49" i="12" a="1"/>
  <c r="B49" i="12" s="1"/>
  <c r="B64" i="12" a="1"/>
  <c r="B64" i="12" s="1"/>
  <c r="B52" i="12" a="1"/>
  <c r="B52" i="12" s="1"/>
  <c r="B77" i="12" a="1"/>
  <c r="B77" i="12" s="1"/>
  <c r="B72" i="12" a="1"/>
  <c r="B72" i="12" s="1"/>
  <c r="B71" i="12" a="1"/>
  <c r="B71" i="12" s="1"/>
  <c r="B51" i="12" a="1"/>
  <c r="B51" i="12" s="1"/>
  <c r="B76" i="12" a="1"/>
  <c r="B76" i="12" s="1"/>
  <c r="B50" i="12" a="1"/>
  <c r="B50" i="12" s="1"/>
  <c r="B53" i="12" a="1"/>
  <c r="B53" i="12" s="1"/>
  <c r="B43" i="12" a="1"/>
  <c r="B43" i="12" s="1"/>
  <c r="B67" i="12" a="1"/>
  <c r="B67" i="12" s="1"/>
  <c r="B63" i="12" a="1"/>
  <c r="B63" i="12" s="1"/>
  <c r="B61" i="12" a="1"/>
  <c r="B61" i="12" s="1"/>
  <c r="B70" i="12" a="1"/>
  <c r="B70" i="12" s="1"/>
  <c r="B42" i="12" a="1"/>
  <c r="B42" i="12" s="1"/>
  <c r="B57" i="12" a="1"/>
  <c r="B57" i="12" s="1"/>
  <c r="B69" i="12" a="1"/>
  <c r="B69" i="12" s="1"/>
  <c r="B73" i="12" a="1"/>
  <c r="B73" i="12" s="1"/>
  <c r="B39" i="12" a="1"/>
  <c r="B39" i="12" s="1"/>
  <c r="B74" i="12" a="1"/>
  <c r="B74" i="12" s="1"/>
  <c r="B56" i="12" a="1"/>
  <c r="B56" i="12" s="1"/>
  <c r="B68" i="12" a="1"/>
  <c r="B68" i="12" s="1"/>
  <c r="B48" i="12" a="1"/>
  <c r="B48" i="12" s="1"/>
  <c r="B41" i="12" a="1"/>
  <c r="B41" i="12" s="1"/>
  <c r="B45" i="12" a="1"/>
  <c r="B45" i="12" s="1"/>
  <c r="B59" i="12" a="1"/>
  <c r="B59" i="12" s="1"/>
  <c r="B62" i="12" a="1"/>
  <c r="B62" i="12" s="1"/>
  <c r="B58" i="12" a="1"/>
  <c r="B58" i="12" s="1"/>
  <c r="B65" i="12" a="1"/>
  <c r="B65" i="12" s="1"/>
  <c r="B55" i="12" a="1"/>
  <c r="B55" i="12" s="1"/>
  <c r="B54" i="12" a="1"/>
  <c r="B54" i="12" s="1"/>
  <c r="B75" i="12" a="1"/>
  <c r="B75" i="12" s="1"/>
  <c r="C8" i="12" a="1"/>
  <c r="C8" i="12" s="1"/>
  <c r="B47" i="12" a="1"/>
  <c r="B47" i="12" s="1"/>
  <c r="B60" i="12" a="1"/>
  <c r="B60" i="12" s="1"/>
  <c r="B46" i="12" a="1"/>
  <c r="B46" i="12" s="1"/>
  <c r="B44" i="12" a="1"/>
  <c r="B44" i="12" s="1"/>
  <c r="B40" i="12" a="1"/>
  <c r="B40" i="12" s="1"/>
  <c r="B44" i="11" a="1"/>
  <c r="B44" i="11" s="1"/>
  <c r="B52" i="11" a="1"/>
  <c r="B52" i="11" s="1"/>
  <c r="B51" i="11" a="1"/>
  <c r="B51" i="11" s="1"/>
  <c r="B49" i="11" a="1"/>
  <c r="B49" i="11" s="1"/>
  <c r="B66" i="11" a="1"/>
  <c r="B66" i="11" s="1"/>
  <c r="B72" i="11" a="1"/>
  <c r="B72" i="11" s="1"/>
  <c r="B64" i="11" a="1"/>
  <c r="B64" i="11" s="1"/>
  <c r="B77" i="11" a="1"/>
  <c r="B77" i="11" s="1"/>
  <c r="B61" i="11" a="1"/>
  <c r="B61" i="11" s="1"/>
  <c r="B65" i="11" a="1"/>
  <c r="B65" i="11" s="1"/>
  <c r="B67" i="11" a="1"/>
  <c r="B67" i="11" s="1"/>
  <c r="B71" i="11" a="1"/>
  <c r="B71" i="11" s="1"/>
  <c r="B47" i="11" a="1"/>
  <c r="B47" i="11" s="1"/>
  <c r="B46" i="11" a="1"/>
  <c r="B46" i="11" s="1"/>
  <c r="B58" i="11" a="1"/>
  <c r="B58" i="11" s="1"/>
  <c r="B53" i="11" a="1"/>
  <c r="B53" i="11" s="1"/>
  <c r="B54" i="11" a="1"/>
  <c r="B54" i="11" s="1"/>
  <c r="B62" i="11" a="1"/>
  <c r="B62" i="11" s="1"/>
  <c r="B48" i="11" a="1"/>
  <c r="B48" i="11" s="1"/>
  <c r="B57" i="11" a="1"/>
  <c r="B57" i="11" s="1"/>
  <c r="B39" i="11" a="1"/>
  <c r="B39" i="11" s="1"/>
  <c r="B55" i="11" a="1"/>
  <c r="B55" i="11" s="1"/>
  <c r="B43" i="11" a="1"/>
  <c r="B43" i="11" s="1"/>
  <c r="B40" i="11" a="1"/>
  <c r="B40" i="11" s="1"/>
  <c r="B73" i="11" a="1"/>
  <c r="B73" i="11" s="1"/>
  <c r="B68" i="11" a="1"/>
  <c r="B68" i="11" s="1"/>
  <c r="B60" i="11" a="1"/>
  <c r="B60" i="11" s="1"/>
  <c r="B63" i="11" a="1"/>
  <c r="B63" i="11" s="1"/>
  <c r="B42" i="11" a="1"/>
  <c r="B42" i="11" s="1"/>
  <c r="B45" i="11" a="1"/>
  <c r="B45" i="11" s="1"/>
  <c r="B76" i="11" a="1"/>
  <c r="B76" i="11" s="1"/>
  <c r="B75" i="11" a="1"/>
  <c r="B75" i="11" s="1"/>
  <c r="B56" i="11" a="1"/>
  <c r="B56" i="11" s="1"/>
  <c r="B50" i="11" a="1"/>
  <c r="B50" i="11" s="1"/>
  <c r="C8" i="11" a="1"/>
  <c r="C8" i="11" s="1"/>
  <c r="B59" i="11" a="1"/>
  <c r="B59" i="11" s="1"/>
  <c r="B70" i="11" a="1"/>
  <c r="B70" i="11" s="1"/>
  <c r="B41" i="11" a="1"/>
  <c r="B41" i="11" s="1"/>
  <c r="B74" i="11" a="1"/>
  <c r="B74" i="11" s="1"/>
  <c r="B69" i="11" a="1"/>
  <c r="B69" i="11" s="1"/>
  <c r="A30" i="6"/>
  <c r="B34" i="7" s="1" a="1"/>
  <c r="B34" i="7" s="1"/>
  <c r="A28" i="6"/>
  <c r="B32" i="7" s="1" a="1"/>
  <c r="B32" i="7" s="1"/>
  <c r="A25" i="6"/>
  <c r="B29" i="7" s="1" a="1"/>
  <c r="B29" i="7" s="1"/>
  <c r="A15" i="6"/>
  <c r="B19" i="7" s="1" a="1"/>
  <c r="B19" i="7" s="1"/>
  <c r="A12" i="6"/>
  <c r="B16" i="7" s="1" a="1"/>
  <c r="B16" i="7" s="1"/>
  <c r="A27" i="6"/>
  <c r="B31" i="7" s="1" a="1"/>
  <c r="B31" i="7" s="1"/>
  <c r="A26" i="6"/>
  <c r="B30" i="7" s="1" a="1"/>
  <c r="B30" i="7" s="1"/>
  <c r="A20" i="6"/>
  <c r="B24" i="7" s="1" a="1"/>
  <c r="B24" i="7" s="1"/>
  <c r="A13" i="6"/>
  <c r="B17" i="7" s="1" a="1"/>
  <c r="B17" i="7" s="1"/>
  <c r="A7" i="6"/>
  <c r="B11" i="7" s="1" a="1"/>
  <c r="B11" i="7" s="1"/>
  <c r="A18" i="6"/>
  <c r="B22" i="7" s="1" a="1"/>
  <c r="B22" i="7" s="1"/>
  <c r="A24" i="6"/>
  <c r="B28" i="7" s="1" a="1"/>
  <c r="B28" i="7" s="1"/>
  <c r="A21" i="6"/>
  <c r="B25" i="7" s="1" a="1"/>
  <c r="B25" i="7" s="1"/>
  <c r="A23" i="6"/>
  <c r="B27" i="7" s="1" a="1"/>
  <c r="B27" i="7" s="1"/>
  <c r="A14" i="6"/>
  <c r="B18" i="7" s="1" a="1"/>
  <c r="B18" i="7" s="1"/>
  <c r="A16" i="6"/>
  <c r="B20" i="7" s="1" a="1"/>
  <c r="B20" i="7" s="1"/>
  <c r="A19" i="6"/>
  <c r="B23" i="7" s="1" a="1"/>
  <c r="B23" i="7" s="1"/>
  <c r="A10" i="6"/>
  <c r="B14" i="7" s="1" a="1"/>
  <c r="B14" i="7" s="1"/>
  <c r="A9" i="6"/>
  <c r="B13" i="7" s="1" a="1"/>
  <c r="B13" i="7" s="1"/>
  <c r="A4" i="6"/>
  <c r="B8" i="7" s="1" a="1"/>
  <c r="B8" i="7" s="1"/>
  <c r="A29" i="6"/>
  <c r="B33" i="7" s="1" a="1"/>
  <c r="B33" i="7" s="1"/>
  <c r="A17" i="6"/>
  <c r="B21" i="7" s="1" a="1"/>
  <c r="B21" i="7" s="1"/>
  <c r="A6" i="6"/>
  <c r="B10" i="7" s="1" a="1"/>
  <c r="B10" i="7" s="1"/>
  <c r="A22" i="6"/>
  <c r="B26" i="7" s="1" a="1"/>
  <c r="B26" i="7" s="1"/>
  <c r="A11" i="6"/>
  <c r="B15" i="7" s="1" a="1"/>
  <c r="B15" i="7" s="1"/>
  <c r="A5" i="6"/>
  <c r="B9" i="7" s="1" a="1"/>
  <c r="B9" i="7" s="1"/>
  <c r="A8" i="6"/>
  <c r="B12" i="7" s="1" a="1"/>
  <c r="B12" i="7" s="1"/>
  <c r="B24" i="13" l="1" a="1"/>
  <c r="B24" i="13" s="1"/>
  <c r="B8" i="13" a="1"/>
  <c r="B8" i="13" s="1"/>
  <c r="B30" i="13" a="1"/>
  <c r="B30" i="13" s="1"/>
  <c r="B26" i="13" a="1"/>
  <c r="B26" i="13" s="1"/>
  <c r="B19" i="13" a="1"/>
  <c r="B19" i="13" s="1"/>
  <c r="B14" i="13" a="1"/>
  <c r="B14" i="13" s="1"/>
  <c r="B34" i="13" a="1"/>
  <c r="B34" i="13" s="1"/>
  <c r="B18" i="13" a="1"/>
  <c r="B18" i="13" s="1"/>
  <c r="B20" i="13" a="1"/>
  <c r="B20" i="13" s="1"/>
  <c r="B22" i="13" a="1"/>
  <c r="B22" i="13" s="1"/>
  <c r="B17" i="13" a="1"/>
  <c r="B17" i="13" s="1"/>
  <c r="B11" i="13" a="1"/>
  <c r="B11" i="13" s="1"/>
  <c r="B12" i="13" a="1"/>
  <c r="B12" i="13" s="1"/>
  <c r="B29" i="13" a="1"/>
  <c r="B29" i="13" s="1"/>
  <c r="B10" i="13" a="1"/>
  <c r="B10" i="13" s="1"/>
  <c r="B13" i="13" a="1"/>
  <c r="B13" i="13" s="1"/>
  <c r="B23" i="13" a="1"/>
  <c r="B23" i="13" s="1"/>
  <c r="B9" i="13" a="1"/>
  <c r="B9" i="13" s="1"/>
  <c r="B21" i="13" a="1"/>
  <c r="B21" i="13" s="1"/>
  <c r="B28" i="13" a="1"/>
  <c r="B28" i="13" s="1"/>
  <c r="B32" i="13" a="1"/>
  <c r="B32" i="13" s="1"/>
  <c r="B15" i="13" a="1"/>
  <c r="B15" i="13" s="1"/>
  <c r="B25" i="12" a="1"/>
  <c r="B25" i="12" s="1"/>
  <c r="B17" i="12" a="1"/>
  <c r="B17" i="12" s="1"/>
  <c r="B23" i="12" a="1"/>
  <c r="B23" i="12" s="1"/>
  <c r="B16" i="12" a="1"/>
  <c r="B16" i="12" s="1"/>
  <c r="B27" i="12" a="1"/>
  <c r="B27" i="12" s="1"/>
  <c r="B12" i="12" a="1"/>
  <c r="B12" i="12" s="1"/>
  <c r="B18" i="12" a="1"/>
  <c r="B18" i="12" s="1"/>
  <c r="B14" i="12" a="1"/>
  <c r="B14" i="12" s="1"/>
  <c r="B9" i="12" a="1"/>
  <c r="B9" i="12" s="1"/>
  <c r="B8" i="12" a="1"/>
  <c r="B8" i="12" s="1"/>
  <c r="B22" i="12" a="1"/>
  <c r="B22" i="12" s="1"/>
  <c r="B11" i="12" a="1"/>
  <c r="B11" i="12" s="1"/>
  <c r="B13" i="12" a="1"/>
  <c r="B13" i="12" s="1"/>
  <c r="B10" i="12" a="1"/>
  <c r="B10" i="12" s="1"/>
  <c r="B30" i="12" a="1"/>
  <c r="B30" i="12" s="1"/>
  <c r="B19" i="12" a="1"/>
  <c r="B19" i="12" s="1"/>
  <c r="B15" i="12" a="1"/>
  <c r="B15" i="12" s="1"/>
  <c r="B33" i="12" a="1"/>
  <c r="B33" i="12" s="1"/>
  <c r="B34" i="12" a="1"/>
  <c r="B34" i="12" s="1"/>
  <c r="B26" i="12" a="1"/>
  <c r="B26" i="12" s="1"/>
  <c r="B32" i="12" a="1"/>
  <c r="B32" i="12" s="1"/>
  <c r="B31" i="12" a="1"/>
  <c r="B31" i="12" s="1"/>
  <c r="B21" i="12" a="1"/>
  <c r="B21" i="12" s="1"/>
  <c r="B24" i="12" a="1"/>
  <c r="B24" i="12" s="1"/>
  <c r="B28" i="12" a="1"/>
  <c r="B28" i="12" s="1"/>
  <c r="B29" i="12" a="1"/>
  <c r="B29" i="12" s="1"/>
  <c r="B20" i="12" a="1"/>
  <c r="B20" i="12" s="1"/>
  <c r="B19" i="11" a="1"/>
  <c r="B19" i="11" s="1"/>
  <c r="B25" i="11" a="1"/>
  <c r="B25" i="11" s="1"/>
  <c r="B10" i="11" a="1"/>
  <c r="B10" i="11" s="1"/>
  <c r="B34" i="11" a="1"/>
  <c r="B34" i="11" s="1"/>
  <c r="B26" i="11" a="1"/>
  <c r="B26" i="11" s="1"/>
  <c r="B18" i="11" a="1"/>
  <c r="B18" i="11" s="1"/>
  <c r="B27" i="11" a="1"/>
  <c r="B27" i="11" s="1"/>
  <c r="B22" i="11" a="1"/>
  <c r="B22" i="11" s="1"/>
  <c r="B21" i="11" a="1"/>
  <c r="B21" i="11" s="1"/>
  <c r="B33" i="11" a="1"/>
  <c r="B33" i="11" s="1"/>
  <c r="B32" i="11" a="1"/>
  <c r="B32" i="11" s="1"/>
  <c r="B28" i="11" a="1"/>
  <c r="B28" i="11" s="1"/>
  <c r="B8" i="11" a="1"/>
  <c r="B8" i="11" s="1"/>
  <c r="B12" i="11" a="1"/>
  <c r="B12" i="11" s="1"/>
  <c r="B9" i="11" a="1"/>
  <c r="B9" i="11" s="1"/>
  <c r="B29" i="11" a="1"/>
  <c r="B29" i="11" s="1"/>
  <c r="B15" i="11" a="1"/>
  <c r="B15" i="11" s="1"/>
  <c r="B17" i="11" a="1"/>
  <c r="B17" i="11" s="1"/>
  <c r="B20" i="11" a="1"/>
  <c r="B20" i="11" s="1"/>
  <c r="B30" i="11" a="1"/>
  <c r="B30" i="11" s="1"/>
  <c r="B13" i="11" a="1"/>
  <c r="B13" i="11" s="1"/>
  <c r="B23" i="11" a="1"/>
  <c r="B23" i="11" s="1"/>
  <c r="B14" i="11" a="1"/>
  <c r="B14" i="11" s="1"/>
  <c r="B24" i="11" a="1"/>
  <c r="B24" i="11" s="1"/>
  <c r="B31" i="11" a="1"/>
  <c r="B31" i="11" s="1"/>
  <c r="B11" i="11" a="1"/>
  <c r="B11" i="11" s="1"/>
  <c r="B16" i="11" a="1"/>
  <c r="B16" i="11" s="1"/>
  <c r="B4" i="10" a="1"/>
  <c r="B4" i="10" l="1"/>
  <c r="C83" i="12" s="1" a="1"/>
  <c r="C83" i="12" s="1"/>
  <c r="C82" i="11" a="1"/>
  <c r="C82" i="11" s="1"/>
  <c r="A5" i="10" a="1"/>
  <c r="A48" i="10" a="1"/>
  <c r="A48" i="10" s="1"/>
  <c r="A7" i="10" a="1"/>
  <c r="A8" i="10" a="1"/>
  <c r="A14" i="10" a="1"/>
  <c r="A14" i="10" s="1"/>
  <c r="A39" i="10" a="1"/>
  <c r="A39" i="10" s="1"/>
  <c r="A51" i="10" a="1"/>
  <c r="A51" i="10" s="1"/>
  <c r="A52" i="10" a="1"/>
  <c r="A52" i="10" s="1"/>
  <c r="A34" i="10" a="1"/>
  <c r="A34" i="10" s="1"/>
  <c r="A27" i="10" a="1"/>
  <c r="A27" i="10" s="1"/>
  <c r="A30" i="10" a="1"/>
  <c r="A30" i="10" s="1"/>
  <c r="A20" i="10" a="1"/>
  <c r="A20" i="10" s="1"/>
  <c r="A24" i="10" a="1"/>
  <c r="A24" i="10" s="1"/>
  <c r="A49" i="10" a="1"/>
  <c r="A49" i="10" s="1"/>
  <c r="A50" i="10" a="1"/>
  <c r="A50" i="10" s="1"/>
  <c r="A47" i="10" a="1"/>
  <c r="A47" i="10" s="1"/>
  <c r="A4" i="10" a="1"/>
  <c r="A42" i="10" a="1"/>
  <c r="A42" i="10" s="1"/>
  <c r="A33" i="10" a="1"/>
  <c r="A33" i="10" s="1"/>
  <c r="A18" i="10" a="1"/>
  <c r="A18" i="10" s="1"/>
  <c r="A17" i="10" a="1"/>
  <c r="A17" i="10" s="1"/>
  <c r="A11" i="10" a="1"/>
  <c r="A29" i="10" a="1"/>
  <c r="A29" i="10" s="1"/>
  <c r="A23" i="10" a="1"/>
  <c r="A23" i="10" s="1"/>
  <c r="A40" i="10" a="1"/>
  <c r="A40" i="10" s="1"/>
  <c r="A26" i="10" a="1"/>
  <c r="A26" i="10" s="1"/>
  <c r="A55" i="10" a="1"/>
  <c r="A55" i="10" s="1"/>
  <c r="A15" i="10" a="1"/>
  <c r="A15" i="10" s="1"/>
  <c r="A6" i="10" a="1"/>
  <c r="A22" i="10" a="1"/>
  <c r="A22" i="10" s="1"/>
  <c r="A37" i="10" a="1"/>
  <c r="A37" i="10" s="1"/>
  <c r="A38" i="10" a="1"/>
  <c r="A38" i="10" s="1"/>
  <c r="A32" i="10" a="1"/>
  <c r="A32" i="10" s="1"/>
  <c r="A31" i="10" a="1"/>
  <c r="A31" i="10" s="1"/>
  <c r="A19" i="10" a="1"/>
  <c r="A19" i="10" s="1"/>
  <c r="A35" i="10" a="1"/>
  <c r="A35" i="10" s="1"/>
  <c r="A9" i="10" a="1"/>
  <c r="A43" i="10" a="1"/>
  <c r="A43" i="10" s="1"/>
  <c r="C82" i="7" a="1"/>
  <c r="C82" i="7" s="1"/>
  <c r="A12" i="10" a="1"/>
  <c r="A12" i="10" s="1"/>
  <c r="A16" i="10" a="1"/>
  <c r="A16" i="10" s="1"/>
  <c r="A45" i="10" a="1"/>
  <c r="A45" i="10" s="1"/>
  <c r="A10" i="10" a="1"/>
  <c r="A13" i="10" a="1"/>
  <c r="A13" i="10" s="1"/>
  <c r="A41" i="10" a="1"/>
  <c r="A41" i="10" s="1"/>
  <c r="A54" i="10" a="1"/>
  <c r="A54" i="10" s="1"/>
  <c r="A25" i="10" a="1"/>
  <c r="A25" i="10" s="1"/>
  <c r="A21" i="10" a="1"/>
  <c r="A21" i="10" s="1"/>
  <c r="A36" i="10" a="1"/>
  <c r="A36" i="10" s="1"/>
  <c r="A44" i="10" a="1"/>
  <c r="A44" i="10" s="1"/>
  <c r="A53" i="10" a="1"/>
  <c r="A53" i="10" s="1"/>
  <c r="A28" i="10" a="1"/>
  <c r="A28" i="10" s="1"/>
  <c r="A46" i="10" a="1"/>
  <c r="A46" i="10" s="1"/>
  <c r="B84" i="13" l="1" a="1"/>
  <c r="B84" i="13" s="1"/>
  <c r="B85" i="13" a="1"/>
  <c r="B85" i="13" s="1"/>
  <c r="B88" i="13" a="1"/>
  <c r="B88" i="13" s="1"/>
  <c r="B86" i="13" a="1"/>
  <c r="B86" i="13" s="1"/>
  <c r="B83" i="13" a="1"/>
  <c r="B83" i="13" s="1"/>
  <c r="C83" i="13" a="1"/>
  <c r="C83" i="13" s="1"/>
  <c r="A4" i="10"/>
  <c r="B82" i="7" s="1" a="1"/>
  <c r="B82" i="7" s="1"/>
  <c r="A6" i="10"/>
  <c r="B84" i="7" s="1" a="1"/>
  <c r="B84" i="7" s="1"/>
  <c r="A8" i="10"/>
  <c r="B86" i="7" s="1" a="1"/>
  <c r="B86" i="7" s="1"/>
  <c r="A10" i="10"/>
  <c r="B88" i="7" s="1" a="1"/>
  <c r="B88" i="7" s="1"/>
  <c r="A7" i="10"/>
  <c r="B85" i="7" s="1" a="1"/>
  <c r="B85" i="7" s="1"/>
  <c r="A9" i="10"/>
  <c r="B87" i="7" s="1" a="1"/>
  <c r="B87" i="7" s="1"/>
  <c r="A11" i="10"/>
  <c r="B89" i="7" s="1" a="1"/>
  <c r="B89" i="7" s="1"/>
  <c r="A5" i="10"/>
  <c r="B83" i="7" s="1" a="1"/>
  <c r="B83" i="7" s="1"/>
  <c r="B90" i="13" l="1" a="1"/>
  <c r="B90" i="13" s="1"/>
  <c r="B89" i="13" a="1"/>
  <c r="B89" i="13" s="1"/>
  <c r="B87" i="13" a="1"/>
  <c r="B87" i="13" s="1"/>
  <c r="B90" i="12" a="1"/>
  <c r="B90" i="12" s="1"/>
  <c r="B86" i="12" a="1"/>
  <c r="B86" i="12" s="1"/>
  <c r="B87" i="12" a="1"/>
  <c r="B87" i="12" s="1"/>
  <c r="B89" i="12" a="1"/>
  <c r="B89" i="12" s="1"/>
  <c r="B84" i="12" a="1"/>
  <c r="B84" i="12" s="1"/>
  <c r="B83" i="12" a="1"/>
  <c r="B83" i="12" s="1"/>
  <c r="B85" i="12" a="1"/>
  <c r="B85" i="12" s="1"/>
  <c r="B88" i="12" a="1"/>
  <c r="B88" i="12" s="1"/>
  <c r="B88" i="11" a="1"/>
  <c r="B88" i="11" s="1"/>
  <c r="B85" i="11" a="1"/>
  <c r="B85" i="11" s="1"/>
  <c r="B86" i="11" a="1"/>
  <c r="B86" i="11" s="1"/>
  <c r="B84" i="11" a="1"/>
  <c r="B84" i="11" s="1"/>
  <c r="B83" i="11" a="1"/>
  <c r="B83" i="11" s="1"/>
  <c r="B89" i="11" a="1"/>
  <c r="B89" i="11" s="1"/>
  <c r="B82" i="11" a="1"/>
  <c r="B82" i="11" s="1"/>
  <c r="B87" i="11" a="1"/>
  <c r="B87" i="1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<sst xmlns="http://schemas.openxmlformats.org/spreadsheetml/2006/main" count="604" uniqueCount="128">
  <si>
    <t>Seb Ashton</t>
  </si>
  <si>
    <t>Neal Beauchamp</t>
  </si>
  <si>
    <t>Paul Davey</t>
  </si>
  <si>
    <t>David Goddard</t>
  </si>
  <si>
    <t>Neil Grunshaw</t>
  </si>
  <si>
    <t>Tom Herbert</t>
  </si>
  <si>
    <t>Chris Jenkins</t>
  </si>
  <si>
    <t>Tom Kennett</t>
  </si>
  <si>
    <t>Eamon Mason</t>
  </si>
  <si>
    <t>Bill McClatchie</t>
  </si>
  <si>
    <t>Raif Oz</t>
  </si>
  <si>
    <t>Henrik Persson</t>
  </si>
  <si>
    <t>Judah Rand</t>
  </si>
  <si>
    <t>Tobi Rosenkranz</t>
  </si>
  <si>
    <t>Conor Walsh</t>
  </si>
  <si>
    <t>Denis Whelan</t>
  </si>
  <si>
    <t>David Wong</t>
  </si>
  <si>
    <t>Olly Wright</t>
  </si>
  <si>
    <t>Stage 1</t>
  </si>
  <si>
    <t>Stage 2</t>
  </si>
  <si>
    <t>Stage 4</t>
  </si>
  <si>
    <t>Stage 5</t>
  </si>
  <si>
    <t>Stage 6</t>
  </si>
  <si>
    <t>Position</t>
  </si>
  <si>
    <t>Name</t>
  </si>
  <si>
    <t>Time</t>
  </si>
  <si>
    <t>Points</t>
  </si>
  <si>
    <t>Total Points</t>
  </si>
  <si>
    <t>A1</t>
  </si>
  <si>
    <t>A2</t>
  </si>
  <si>
    <t>A3</t>
  </si>
  <si>
    <t>A4</t>
  </si>
  <si>
    <t>Handicap Group</t>
  </si>
  <si>
    <t>Handicap</t>
  </si>
  <si>
    <t>Adjusted</t>
  </si>
  <si>
    <t>Base</t>
  </si>
  <si>
    <t>B1</t>
  </si>
  <si>
    <t>B2</t>
  </si>
  <si>
    <t>B4</t>
  </si>
  <si>
    <t>Base Points</t>
  </si>
  <si>
    <t>Adjusted Points</t>
  </si>
  <si>
    <t>Cap (B)</t>
  </si>
  <si>
    <t>Cap (A)</t>
  </si>
  <si>
    <t>Overall</t>
  </si>
  <si>
    <t>Rank</t>
  </si>
  <si>
    <t>Pos.</t>
  </si>
  <si>
    <t>Base Pts.</t>
  </si>
  <si>
    <t>Jonny Bodey</t>
  </si>
  <si>
    <t>Marcus Jones</t>
  </si>
  <si>
    <t>Matt de Freitas</t>
  </si>
  <si>
    <t>James Bowden</t>
  </si>
  <si>
    <t>Gordon Reid</t>
  </si>
  <si>
    <t>Richard Halls</t>
  </si>
  <si>
    <t>James Armitage-Hobbs</t>
  </si>
  <si>
    <t>Alex Tate</t>
  </si>
  <si>
    <t>Alex Robertson</t>
  </si>
  <si>
    <t>Rupert Gordon-Watkins</t>
  </si>
  <si>
    <t xml:space="preserve">Adam Currie </t>
  </si>
  <si>
    <t xml:space="preserve">David Willis </t>
  </si>
  <si>
    <t>Luke Benfield</t>
  </si>
  <si>
    <t>Rich Southcott</t>
  </si>
  <si>
    <t>Joe Barrett</t>
  </si>
  <si>
    <t>Sean Haywood</t>
  </si>
  <si>
    <t>Gareth Edwards</t>
  </si>
  <si>
    <t>Alex Wilson-Jones</t>
  </si>
  <si>
    <t>Justin Goold</t>
  </si>
  <si>
    <t>Rob Cherry</t>
  </si>
  <si>
    <t>Chris Croft</t>
  </si>
  <si>
    <t>Simon White</t>
  </si>
  <si>
    <t>David Griffiths</t>
  </si>
  <si>
    <t>Richard Harrison</t>
  </si>
  <si>
    <t>Alex Joss</t>
  </si>
  <si>
    <t>Russell Beard</t>
  </si>
  <si>
    <t>Jeremy Sharpe</t>
  </si>
  <si>
    <t>Hans Stiles</t>
  </si>
  <si>
    <t xml:space="preserve">Nick Dumonde </t>
  </si>
  <si>
    <t>Tom Bagley</t>
  </si>
  <si>
    <t>Luke Fenney</t>
  </si>
  <si>
    <t>Mark Stancombe</t>
  </si>
  <si>
    <t>Harvey Jackson</t>
  </si>
  <si>
    <t>Matt Wynn</t>
  </si>
  <si>
    <t>Martyn Hopping</t>
  </si>
  <si>
    <t>Peter King</t>
  </si>
  <si>
    <t>Phoebe Macwhinnie</t>
  </si>
  <si>
    <t>Alexandra Chuchu</t>
  </si>
  <si>
    <t>James Turner</t>
  </si>
  <si>
    <t>Patricia Villar</t>
  </si>
  <si>
    <t>Alessandra Scaduto</t>
  </si>
  <si>
    <t>Overall - A</t>
  </si>
  <si>
    <t>Stage 1 - A</t>
  </si>
  <si>
    <t>Overall - B</t>
  </si>
  <si>
    <t>Stage 1 - B</t>
  </si>
  <si>
    <t>KWCC TdZ 2026 - Strictly Unofficial Points Championship</t>
  </si>
  <si>
    <t>Laura McMullen</t>
  </si>
  <si>
    <t>Patricia Vilar</t>
  </si>
  <si>
    <t>Handicap Pts</t>
  </si>
  <si>
    <t>Points Cap:</t>
  </si>
  <si>
    <t>Overall - Women's</t>
  </si>
  <si>
    <t>Stage 1 - Women's</t>
  </si>
  <si>
    <t>Richard Turner</t>
  </si>
  <si>
    <t>Peter Lyons</t>
  </si>
  <si>
    <t>Funking Baxter</t>
  </si>
  <si>
    <t>Olivier Baillet</t>
  </si>
  <si>
    <t>Alan Grant</t>
  </si>
  <si>
    <t>Jonny Vaux</t>
  </si>
  <si>
    <t>STAGE 1 RESULTS (revised handicaps)</t>
  </si>
  <si>
    <t>Stage 2 - A</t>
  </si>
  <si>
    <t>STAGE 2 RESULTS</t>
  </si>
  <si>
    <t>Stage 2 - B</t>
  </si>
  <si>
    <t>Stage 2 - Women's</t>
  </si>
  <si>
    <t>Stage 3a</t>
  </si>
  <si>
    <t>Stage 3b</t>
  </si>
  <si>
    <t>Mark Presland</t>
  </si>
  <si>
    <t>STAGE 3 RESULTS</t>
  </si>
  <si>
    <t>Stage 3a - A</t>
  </si>
  <si>
    <t>Stage 3b - A</t>
  </si>
  <si>
    <t>Stage 3a - B</t>
  </si>
  <si>
    <t>Stage 3a - Women's</t>
  </si>
  <si>
    <t>Stage 3b - Women's</t>
  </si>
  <si>
    <t>Stage 3b - B</t>
  </si>
  <si>
    <t>01:12:!2</t>
  </si>
  <si>
    <t>01:!5:06</t>
  </si>
  <si>
    <t>01:32:$4</t>
  </si>
  <si>
    <t>01:39:!6</t>
  </si>
  <si>
    <t>STAGE 4 RESULTS</t>
  </si>
  <si>
    <t>Stage 4 - A</t>
  </si>
  <si>
    <t>Stage 4 - B</t>
  </si>
  <si>
    <t>Stage 4 - Women's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</si>
</sst>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Dashed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21" fontId="0" fillId="0" borderId="0" xfId="0" applyNumberFormat="1" applyAlignment="1">
      <alignment horizontal="center"/>
    </xf>
    <xf numFmtId="1" fontId="1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21" fontId="16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21" fontId="0" fillId="0" borderId="0" xfId="0" applyNumberFormat="1" applyAlignment="1" applyProtection="1">
      <alignment horizontal="center"/>
      <protection locked="0"/>
    </xf>
    <xf numFmtId="21" fontId="22" fillId="0" borderId="0" xfId="0" applyNumberFormat="1" applyFon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16" fillId="0" borderId="0" xfId="0" applyFont="1" applyAlignment="1">
      <alignment horizontal="center" wrapText="1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21" fontId="20" fillId="0" borderId="0" xfId="0" applyNumberFormat="1" applyFont="1" applyAlignment="1" applyProtection="1">
      <alignment horizontal="center"/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6D08-8737-BE45-92DA-D074B965EBBA}">
  <dimension ref="A1:AU55"/>
  <sheetViews>
    <sheetView zoomScale="125" zoomScaleNormal="125" workbookViewId="0">
      <pane xSplit="1" topLeftCell="O1" activePane="topRight" state="frozen"/>
      <selection pane="topRight" activeCell="AC22" sqref="AC22"/>
    </sheetView>
  </sheetViews>
  <sheetFormatPr baseColWidth="10" defaultColWidth="8.83203125" defaultRowHeight="15" x14ac:dyDescent="0.2"/>
  <cols>
    <col min="1" max="1" width="19.33203125" bestFit="1" customWidth="1"/>
    <col min="2" max="2" width="9.1640625" style="1" customWidth="1"/>
    <col min="3" max="3" width="2" style="1" customWidth="1"/>
    <col min="4" max="4" width="7.5" style="1" bestFit="1" customWidth="1"/>
    <col min="5" max="5" width="8.1640625" style="1" bestFit="1" customWidth="1"/>
    <col min="6" max="6" width="8.33203125" style="1" customWidth="1"/>
    <col min="7" max="8" width="8.33203125" style="6" bestFit="1" customWidth="1"/>
    <col min="9" max="9" width="2" style="1" customWidth="1"/>
    <col min="10" max="10" width="7.5" style="1" bestFit="1" customWidth="1"/>
    <col min="11" max="11" width="8.1640625" style="1" bestFit="1" customWidth="1"/>
    <col min="12" max="12" width="8.33203125" style="1" customWidth="1"/>
    <col min="13" max="14" width="8.33203125" style="6" bestFit="1" customWidth="1"/>
    <col min="15" max="15" width="2" style="1" customWidth="1"/>
    <col min="16" max="16" width="7.5" style="1" bestFit="1" customWidth="1"/>
    <col min="17" max="17" width="8.1640625" style="1" bestFit="1" customWidth="1"/>
    <col min="18" max="18" width="8.33203125" style="1" customWidth="1"/>
    <col min="19" max="20" width="8.33203125" style="6" bestFit="1" customWidth="1"/>
    <col min="21" max="21" width="2" style="1" customWidth="1"/>
    <col min="22" max="22" width="7.5" style="1" bestFit="1" customWidth="1"/>
    <col min="23" max="23" width="8.1640625" style="1" bestFit="1" customWidth="1"/>
    <col min="24" max="24" width="8.33203125" style="1" customWidth="1"/>
    <col min="25" max="26" width="8.33203125" style="6" bestFit="1" customWidth="1"/>
    <col min="27" max="27" width="2" style="1" customWidth="1"/>
    <col min="28" max="28" width="7.5" style="1" bestFit="1" customWidth="1"/>
    <col min="29" max="29" width="8.1640625" style="1" bestFit="1" customWidth="1"/>
    <col min="30" max="30" width="8.33203125" style="1" customWidth="1"/>
    <col min="31" max="32" width="8.33203125" style="6" bestFit="1" customWidth="1"/>
    <col min="33" max="33" width="2" style="1" customWidth="1"/>
    <col min="34" max="34" width="7.5" style="1" bestFit="1" customWidth="1"/>
    <col min="35" max="35" width="8.1640625" style="1" bestFit="1" customWidth="1"/>
    <col min="36" max="36" width="8.33203125" style="1" customWidth="1"/>
    <col min="37" max="38" width="8.33203125" style="6" bestFit="1" customWidth="1"/>
    <col min="39" max="39" width="2" style="1" customWidth="1"/>
    <col min="40" max="40" width="7.5" style="1" bestFit="1" customWidth="1"/>
    <col min="41" max="41" width="8.1640625" style="1" bestFit="1" customWidth="1"/>
    <col min="42" max="42" width="8.33203125" style="1" customWidth="1"/>
    <col min="43" max="44" width="8.33203125" style="6" bestFit="1" customWidth="1"/>
    <col min="45" max="45" width="2.1640625" customWidth="1"/>
    <col min="46" max="46" width="8.5" style="1" customWidth="1"/>
    <col min="47" max="47" width="8.83203125" style="2"/>
  </cols>
  <sheetData>
    <row r="1" spans="1:47" s="2" customFormat="1" ht="16" thickBot="1" x14ac:dyDescent="0.25">
      <c r="B1" s="17" t="s">
        <v>32</v>
      </c>
      <c r="C1" s="3"/>
      <c r="D1" s="18" t="s">
        <v>18</v>
      </c>
      <c r="E1" s="18"/>
      <c r="F1" s="18"/>
      <c r="G1" s="18"/>
      <c r="H1" s="18"/>
      <c r="I1" s="3"/>
      <c r="J1" s="18" t="s">
        <v>19</v>
      </c>
      <c r="K1" s="18"/>
      <c r="L1" s="18"/>
      <c r="M1" s="18"/>
      <c r="N1" s="18"/>
      <c r="O1" s="3"/>
      <c r="P1" s="18" t="s">
        <v>110</v>
      </c>
      <c r="Q1" s="18"/>
      <c r="R1" s="18"/>
      <c r="S1" s="18"/>
      <c r="T1" s="18"/>
      <c r="U1" s="3"/>
      <c r="V1" s="18" t="s">
        <v>111</v>
      </c>
      <c r="W1" s="18"/>
      <c r="X1" s="18"/>
      <c r="Y1" s="18"/>
      <c r="Z1" s="18"/>
      <c r="AA1" s="3"/>
      <c r="AB1" s="18" t="s">
        <v>20</v>
      </c>
      <c r="AC1" s="18"/>
      <c r="AD1" s="18"/>
      <c r="AE1" s="18"/>
      <c r="AF1" s="18"/>
      <c r="AG1" s="3"/>
      <c r="AH1" s="18" t="s">
        <v>21</v>
      </c>
      <c r="AI1" s="18"/>
      <c r="AJ1" s="18"/>
      <c r="AK1" s="18"/>
      <c r="AL1" s="18"/>
      <c r="AM1" s="3"/>
      <c r="AN1" s="18" t="s">
        <v>22</v>
      </c>
      <c r="AO1" s="18"/>
      <c r="AP1" s="18"/>
      <c r="AQ1" s="18"/>
      <c r="AR1" s="18"/>
      <c r="AT1" s="17" t="s">
        <v>39</v>
      </c>
      <c r="AU1" s="17" t="s">
        <v>40</v>
      </c>
    </row>
    <row r="2" spans="1:47" s="2" customFormat="1" ht="16" customHeight="1" thickBot="1" x14ac:dyDescent="0.25">
      <c r="B2" s="17"/>
      <c r="C2" s="3"/>
      <c r="D2" s="19" t="s">
        <v>23</v>
      </c>
      <c r="E2" s="19" t="s">
        <v>25</v>
      </c>
      <c r="F2" s="21" t="s">
        <v>26</v>
      </c>
      <c r="G2" s="21"/>
      <c r="H2" s="21"/>
      <c r="I2" s="3"/>
      <c r="J2" s="19" t="s">
        <v>23</v>
      </c>
      <c r="K2" s="19" t="s">
        <v>25</v>
      </c>
      <c r="L2" s="21" t="s">
        <v>26</v>
      </c>
      <c r="M2" s="21"/>
      <c r="N2" s="21"/>
      <c r="O2" s="3"/>
      <c r="P2" s="19" t="s">
        <v>23</v>
      </c>
      <c r="Q2" s="19" t="s">
        <v>25</v>
      </c>
      <c r="R2" s="21" t="s">
        <v>26</v>
      </c>
      <c r="S2" s="21"/>
      <c r="T2" s="21"/>
      <c r="U2" s="3"/>
      <c r="V2" s="19" t="s">
        <v>23</v>
      </c>
      <c r="W2" s="19" t="s">
        <v>25</v>
      </c>
      <c r="X2" s="21" t="s">
        <v>26</v>
      </c>
      <c r="Y2" s="21"/>
      <c r="Z2" s="21"/>
      <c r="AA2" s="3"/>
      <c r="AB2" s="19" t="s">
        <v>23</v>
      </c>
      <c r="AC2" s="19" t="s">
        <v>25</v>
      </c>
      <c r="AD2" s="21" t="s">
        <v>26</v>
      </c>
      <c r="AE2" s="21"/>
      <c r="AF2" s="21"/>
      <c r="AG2" s="3"/>
      <c r="AH2" s="19" t="s">
        <v>23</v>
      </c>
      <c r="AI2" s="19" t="s">
        <v>25</v>
      </c>
      <c r="AJ2" s="21" t="s">
        <v>26</v>
      </c>
      <c r="AK2" s="21"/>
      <c r="AL2" s="21"/>
      <c r="AM2" s="3"/>
      <c r="AN2" s="19" t="s">
        <v>23</v>
      </c>
      <c r="AO2" s="19" t="s">
        <v>25</v>
      </c>
      <c r="AP2" s="21" t="s">
        <v>26</v>
      </c>
      <c r="AQ2" s="21"/>
      <c r="AR2" s="21"/>
      <c r="AT2" s="17"/>
      <c r="AU2" s="17"/>
    </row>
    <row r="3" spans="1:47" s="2" customFormat="1" x14ac:dyDescent="0.2">
      <c r="A3" s="2" t="s">
        <v>24</v>
      </c>
      <c r="B3" s="17"/>
      <c r="C3" s="3"/>
      <c r="D3" s="20"/>
      <c r="E3" s="20"/>
      <c r="F3" s="3" t="s">
        <v>35</v>
      </c>
      <c r="G3" s="5" t="s">
        <v>33</v>
      </c>
      <c r="H3" s="5" t="s">
        <v>34</v>
      </c>
      <c r="I3" s="3"/>
      <c r="J3" s="20"/>
      <c r="K3" s="20"/>
      <c r="L3" s="3" t="s">
        <v>35</v>
      </c>
      <c r="M3" s="5" t="s">
        <v>33</v>
      </c>
      <c r="N3" s="5" t="s">
        <v>34</v>
      </c>
      <c r="O3" s="3"/>
      <c r="P3" s="20"/>
      <c r="Q3" s="20"/>
      <c r="R3" s="3" t="s">
        <v>35</v>
      </c>
      <c r="S3" s="5" t="s">
        <v>33</v>
      </c>
      <c r="T3" s="5" t="s">
        <v>34</v>
      </c>
      <c r="U3" s="3"/>
      <c r="V3" s="20"/>
      <c r="W3" s="20"/>
      <c r="X3" s="3" t="s">
        <v>35</v>
      </c>
      <c r="Y3" s="5" t="s">
        <v>33</v>
      </c>
      <c r="Z3" s="5" t="s">
        <v>34</v>
      </c>
      <c r="AA3" s="3"/>
      <c r="AB3" s="20"/>
      <c r="AC3" s="20"/>
      <c r="AD3" s="3" t="s">
        <v>35</v>
      </c>
      <c r="AE3" s="5" t="s">
        <v>33</v>
      </c>
      <c r="AF3" s="5" t="s">
        <v>34</v>
      </c>
      <c r="AG3" s="3"/>
      <c r="AH3" s="20"/>
      <c r="AI3" s="20"/>
      <c r="AJ3" s="3" t="s">
        <v>35</v>
      </c>
      <c r="AK3" s="5" t="s">
        <v>33</v>
      </c>
      <c r="AL3" s="5" t="s">
        <v>34</v>
      </c>
      <c r="AM3" s="3"/>
      <c r="AN3" s="20"/>
      <c r="AO3" s="20"/>
      <c r="AP3" s="3" t="s">
        <v>35</v>
      </c>
      <c r="AQ3" s="5" t="s">
        <v>33</v>
      </c>
      <c r="AR3" s="5" t="s">
        <v>34</v>
      </c>
      <c r="AT3" s="17"/>
      <c r="AU3" s="17"/>
    </row>
    <row r="4" spans="1:47" s="2" customFormat="1" ht="7.25" customHeight="1" x14ac:dyDescent="0.2">
      <c r="B4" s="3"/>
      <c r="C4" s="3"/>
      <c r="D4" s="3"/>
      <c r="E4" s="3"/>
      <c r="F4" s="3"/>
      <c r="G4" s="5"/>
      <c r="H4" s="5"/>
      <c r="I4" s="3"/>
      <c r="J4" s="3"/>
      <c r="K4" s="3"/>
      <c r="L4" s="3"/>
      <c r="M4" s="5"/>
      <c r="N4" s="5"/>
      <c r="O4" s="3"/>
      <c r="P4" s="3"/>
      <c r="Q4" s="3"/>
      <c r="R4" s="3"/>
      <c r="S4" s="5"/>
      <c r="T4" s="5"/>
      <c r="U4" s="3"/>
      <c r="V4" s="3"/>
      <c r="W4" s="3"/>
      <c r="X4" s="3"/>
      <c r="Y4" s="5"/>
      <c r="Z4" s="5"/>
      <c r="AA4" s="3"/>
      <c r="AB4" s="3"/>
      <c r="AC4" s="3"/>
      <c r="AD4" s="3"/>
      <c r="AE4" s="5"/>
      <c r="AF4" s="5"/>
      <c r="AG4" s="3"/>
      <c r="AH4" s="3"/>
      <c r="AI4" s="3"/>
      <c r="AJ4" s="3"/>
      <c r="AK4" s="5"/>
      <c r="AL4" s="5"/>
      <c r="AM4" s="3"/>
      <c r="AN4" s="3"/>
      <c r="AO4" s="3"/>
      <c r="AP4" s="3"/>
      <c r="AQ4" s="5"/>
      <c r="AR4" s="5"/>
      <c r="AT4" s="3"/>
    </row>
    <row r="5" spans="1:47" x14ac:dyDescent="0.2">
      <c r="A5" s="12" t="s">
        <v>7</v>
      </c>
      <c r="B5" s="13">
        <v>1</v>
      </c>
      <c r="D5" s="13">
        <v>4</v>
      </c>
      <c r="E5" s="15">
        <v>2.3726851851851853E-2</v>
      </c>
      <c r="F5" s="1">
        <f t="shared" ref="F5:F31" si="0">IF(COUNT(D$5:D$48)=0,"",IF(ISNUMBER(D5),1+POINTS_CAP_A-D5,0))</f>
        <v>27</v>
      </c>
      <c r="G5" s="6" cm="1">
        <f t="array" ref="G5">IF(COUNT(D$5:D$48)=0,"",
   IFERROR(CHOOSE($B5,HDCP_V_A1,HDCP_V_A2,HDCP_V_A3,HDCP_V_A4),0))</f>
        <v>0</v>
      </c>
      <c r="H5" s="6">
        <f t="shared" ref="H5:H30" si="1">IF(COUNT(D$5:D$48)=0,"",MIN(F5+G5,POINTS_CAP_A))</f>
        <v>27</v>
      </c>
      <c r="J5" s="13">
        <v>2</v>
      </c>
      <c r="K5" s="14">
        <v>1.9965277777777776E-2</v>
      </c>
      <c r="L5" s="1">
        <f t="shared" ref="L5:L31" si="2">IF(COUNT(J$5:J$48)=0,"",IF(ISNUMBER(J5),1+POINTS_CAP_A-J5,0))</f>
        <v>29</v>
      </c>
      <c r="M5" s="6" cm="1">
        <f t="array" ref="M5">IF(COUNT(J$5:J$48)=0,"",
   IFERROR(CHOOSE($B5,HDCP_V_A1,HDCP_V_A2,HDCP_V_A3,HDCP_V_A4),0))</f>
        <v>0</v>
      </c>
      <c r="N5" s="6">
        <f t="shared" ref="N5:N30" si="3">IF(COUNT(J$5:J$48)=0,"",MIN(L5+M5,POINTS_CAP_A))</f>
        <v>29</v>
      </c>
      <c r="P5" s="13">
        <v>4</v>
      </c>
      <c r="Q5" s="14">
        <v>3.037037037037037E-2</v>
      </c>
      <c r="R5" s="1">
        <f t="shared" ref="R5:R31" si="4">IF(COUNT(P$5:P$48)=0,"",IF(ISNUMBER(P5),1+POINTS_CAP_A-P5,0))</f>
        <v>27</v>
      </c>
      <c r="S5" s="6" cm="1">
        <f t="array" ref="S5">IF(COUNT(P$5:P$48)=0,"",
   IFERROR(CHOOSE($B5,HDCP_V_A1,HDCP_V_A2,HDCP_V_A3,HDCP_V_A4),0))</f>
        <v>0</v>
      </c>
      <c r="T5" s="6">
        <f t="shared" ref="T5:T30" si="5">IF(COUNT(P$5:P$48)=0,"",MIN(R5+S5,POINTS_CAP_A))</f>
        <v>27</v>
      </c>
      <c r="V5" s="13">
        <v>3</v>
      </c>
      <c r="W5" s="14">
        <v>2.0821759259259259E-2</v>
      </c>
      <c r="X5" s="1">
        <f t="shared" ref="X5:X31" si="6">IF(COUNT(V$5:V$48)=0,"",IF(ISNUMBER(V5),1+POINTS_CAP_A-V5,0))</f>
        <v>28</v>
      </c>
      <c r="Y5" s="6" cm="1">
        <f t="array" ref="Y5">IF(COUNT(V$5:V$48)=0,"",
   IFERROR(CHOOSE($B5,HDCP_V_A1,HDCP_V_A2,HDCP_V_A3,HDCP_V_A4),0))</f>
        <v>0</v>
      </c>
      <c r="Z5" s="6">
        <f t="shared" ref="Z5:Z31" si="7">IF(COUNT(V$5:V$48)=0,"",MIN(X5+Y5,POINTS_CAP_A))</f>
        <v>28</v>
      </c>
      <c r="AB5" s="13">
        <v>1</v>
      </c>
      <c r="AC5" s="14">
        <v>4.1215277777777781E-2</v>
      </c>
      <c r="AD5" s="1">
        <f t="shared" ref="AD5:AD31" si="8">IF(COUNT(AB$5:AB$48)=0,"",IF(ISNUMBER(AB5),1+POINTS_CAP_A-AB5,0))</f>
        <v>30</v>
      </c>
      <c r="AE5" s="6" cm="1">
        <f t="array" ref="AE5">IF(COUNT(AB$5:AB$48)=0,"",
   IFERROR(CHOOSE($B5,HDCP_V_A1,HDCP_V_A2,HDCP_V_A3,HDCP_V_A4),0))</f>
        <v>0</v>
      </c>
      <c r="AF5" s="6">
        <f t="shared" ref="AF5:AF31" si="9">IF(COUNT(AB$5:AB$48)=0,"",MIN(AD5+AE5,POINTS_CAP_A))</f>
        <v>30</v>
      </c>
      <c r="AH5" s="13"/>
      <c r="AI5" s="14"/>
      <c r="AJ5" s="1" t="str">
        <f t="shared" ref="AJ5:AJ31" si="10">IF(COUNT(AH$5:AH$48)=0,"",IF(ISNUMBER(AH5),1+POINTS_CAP_A-AH5,0))</f>
        <v/>
      </c>
      <c r="AK5" s="6" t="str" cm="1">
        <f t="array" ref="AK5">IF(COUNT(AH$5:AH$48)=0,"",
   IFERROR(CHOOSE($B5,HDCP_V_A1,HDCP_V_A2,HDCP_V_A3,HDCP_V_A4),0))</f>
        <v/>
      </c>
      <c r="AL5" s="6" t="str">
        <f t="shared" ref="AL5:AL30" si="11">IF(COUNT(AH$5:AH$48)=0,"",MIN(AJ5+AK5,POINTS_CAP_A))</f>
        <v/>
      </c>
      <c r="AN5" s="13"/>
      <c r="AO5" s="14"/>
      <c r="AP5" s="1" t="str">
        <f t="shared" ref="AP5:AP31" si="12">IF(COUNT(AN$5:AN$48)=0,"",IF(ISNUMBER(AN5),1+POINTS_CAP_A-AN5,0))</f>
        <v/>
      </c>
      <c r="AQ5" s="6" t="str" cm="1">
        <f t="array" ref="AQ5">IF(COUNT(AN$5:AN$48)=0,"",
   IFERROR(CHOOSE($B5,HDCP_V_A1,HDCP_V_A2,HDCP_V_A3,HDCP_V_A4),0))</f>
        <v/>
      </c>
      <c r="AR5" s="6" t="str">
        <f t="shared" ref="AR5:AR30" si="13">IF(COUNT(AN$5:AN$48)=0,"",MIN(AP5+AQ5,POINTS_CAP_A))</f>
        <v/>
      </c>
      <c r="AT5" s="1">
        <f>IF(F5="","",SUM(F5,L5,R5,X5,AD5,AJ5,AP5))</f>
        <v>141</v>
      </c>
      <c r="AU5" s="3">
        <f>IF(H5="","",SUM(H5,N5,T5,Z5,AF5,AL5,AR5))</f>
        <v>141</v>
      </c>
    </row>
    <row r="6" spans="1:47" x14ac:dyDescent="0.2">
      <c r="A6" s="12" t="s">
        <v>10</v>
      </c>
      <c r="B6" s="13">
        <v>1</v>
      </c>
      <c r="D6" s="13">
        <v>5</v>
      </c>
      <c r="E6" s="15">
        <v>2.3726851851851853E-2</v>
      </c>
      <c r="F6" s="1">
        <f t="shared" si="0"/>
        <v>26</v>
      </c>
      <c r="G6" s="6" cm="1">
        <f t="array" ref="G6">IF(COUNT(D$5:D$48)=0,"",
   IFERROR(CHOOSE($B6,HDCP_V_A1,HDCP_V_A2,HDCP_V_A3,HDCP_V_A4),0))</f>
        <v>0</v>
      </c>
      <c r="H6" s="6">
        <f t="shared" si="1"/>
        <v>26</v>
      </c>
      <c r="J6" s="13">
        <v>1</v>
      </c>
      <c r="K6" s="14">
        <v>1.9965277777777776E-2</v>
      </c>
      <c r="L6" s="1">
        <f t="shared" si="2"/>
        <v>30</v>
      </c>
      <c r="M6" s="6" cm="1">
        <f t="array" ref="M6">IF(COUNT(J$5:J$48)=0,"",
   IFERROR(CHOOSE($B6,HDCP_V_A1,HDCP_V_A2,HDCP_V_A3,HDCP_V_A4),0))</f>
        <v>0</v>
      </c>
      <c r="N6" s="6">
        <f t="shared" si="3"/>
        <v>30</v>
      </c>
      <c r="P6" s="13">
        <v>3</v>
      </c>
      <c r="Q6" s="14">
        <v>3.0173611111111109E-2</v>
      </c>
      <c r="R6" s="1">
        <f t="shared" si="4"/>
        <v>28</v>
      </c>
      <c r="S6" s="6" cm="1">
        <f t="array" ref="S6">IF(COUNT(P$5:P$48)=0,"",
   IFERROR(CHOOSE($B6,HDCP_V_A1,HDCP_V_A2,HDCP_V_A3,HDCP_V_A4),0))</f>
        <v>0</v>
      </c>
      <c r="T6" s="6">
        <f t="shared" si="5"/>
        <v>28</v>
      </c>
      <c r="V6" s="13">
        <v>11</v>
      </c>
      <c r="W6" s="14">
        <v>2.1666666666666667E-2</v>
      </c>
      <c r="X6" s="1">
        <f t="shared" si="6"/>
        <v>20</v>
      </c>
      <c r="Y6" s="6" cm="1">
        <f t="array" ref="Y6">IF(COUNT(V$5:V$48)=0,"",
   IFERROR(CHOOSE($B6,HDCP_V_A1,HDCP_V_A2,HDCP_V_A3,HDCP_V_A4),0))</f>
        <v>0</v>
      </c>
      <c r="Z6" s="6">
        <f t="shared" si="7"/>
        <v>20</v>
      </c>
      <c r="AB6" s="13">
        <v>6</v>
      </c>
      <c r="AC6" s="14">
        <v>4.2615740740740739E-2</v>
      </c>
      <c r="AD6" s="1">
        <f t="shared" si="8"/>
        <v>25</v>
      </c>
      <c r="AE6" s="6" cm="1">
        <f t="array" ref="AE6">IF(COUNT(AB$5:AB$48)=0,"",
   IFERROR(CHOOSE($B6,HDCP_V_A1,HDCP_V_A2,HDCP_V_A3,HDCP_V_A4),0))</f>
        <v>0</v>
      </c>
      <c r="AF6" s="6">
        <f t="shared" si="9"/>
        <v>25</v>
      </c>
      <c r="AH6" s="13"/>
      <c r="AI6" s="14"/>
      <c r="AJ6" s="1" t="str">
        <f t="shared" si="10"/>
        <v/>
      </c>
      <c r="AK6" s="6" t="str" cm="1">
        <f t="array" ref="AK6">IF(COUNT(AH$5:AH$48)=0,"",
   IFERROR(CHOOSE($B6,HDCP_V_A1,HDCP_V_A2,HDCP_V_A3,HDCP_V_A4),0))</f>
        <v/>
      </c>
      <c r="AL6" s="6" t="str">
        <f t="shared" si="11"/>
        <v/>
      </c>
      <c r="AN6" s="13"/>
      <c r="AO6" s="14"/>
      <c r="AP6" s="1" t="str">
        <f t="shared" si="12"/>
        <v/>
      </c>
      <c r="AQ6" s="6" t="str" cm="1">
        <f t="array" ref="AQ6">IF(COUNT(AN$5:AN$48)=0,"",
   IFERROR(CHOOSE($B6,HDCP_V_A1,HDCP_V_A2,HDCP_V_A3,HDCP_V_A4),0))</f>
        <v/>
      </c>
      <c r="AR6" s="6" t="str">
        <f t="shared" si="13"/>
        <v/>
      </c>
      <c r="AT6" s="1">
        <f t="shared" ref="AT6:AT31" si="14">IF(F6="","",SUM(F6,L6,R6,X6,AD6,AJ6,AP6))</f>
        <v>129</v>
      </c>
      <c r="AU6" s="3">
        <f t="shared" ref="AU6:AU31" si="15">IF(H6="","",SUM(H6,N6,T6,Z6,AF6,AL6,AR6))</f>
        <v>129</v>
      </c>
    </row>
    <row r="7" spans="1:47" x14ac:dyDescent="0.2">
      <c r="A7" s="12" t="s">
        <v>0</v>
      </c>
      <c r="B7" s="13">
        <v>1</v>
      </c>
      <c r="D7" s="13">
        <v>2</v>
      </c>
      <c r="E7" s="15">
        <v>2.3726851851851853E-2</v>
      </c>
      <c r="F7" s="1">
        <f t="shared" si="0"/>
        <v>29</v>
      </c>
      <c r="G7" s="6" cm="1">
        <f t="array" ref="G7">IF(COUNT(D$5:D$48)=0,"",
   IFERROR(CHOOSE($B7,HDCP_V_A1,HDCP_V_A2,HDCP_V_A3,HDCP_V_A4),0))</f>
        <v>0</v>
      </c>
      <c r="H7" s="6">
        <f t="shared" si="1"/>
        <v>29</v>
      </c>
      <c r="J7" s="13">
        <v>4</v>
      </c>
      <c r="K7" s="14">
        <v>1.9976851851851853E-2</v>
      </c>
      <c r="L7" s="1">
        <f t="shared" si="2"/>
        <v>27</v>
      </c>
      <c r="M7" s="6" cm="1">
        <f t="array" ref="M7">IF(COUNT(J$5:J$48)=0,"",
   IFERROR(CHOOSE($B7,HDCP_V_A1,HDCP_V_A2,HDCP_V_A3,HDCP_V_A4),0))</f>
        <v>0</v>
      </c>
      <c r="N7" s="6">
        <f t="shared" si="3"/>
        <v>27</v>
      </c>
      <c r="P7" s="13">
        <v>2</v>
      </c>
      <c r="Q7" s="14">
        <v>2.960648148148148E-2</v>
      </c>
      <c r="R7" s="1">
        <f t="shared" si="4"/>
        <v>29</v>
      </c>
      <c r="S7" s="6" cm="1">
        <f t="array" ref="S7">IF(COUNT(P$5:P$48)=0,"",
   IFERROR(CHOOSE($B7,HDCP_V_A1,HDCP_V_A2,HDCP_V_A3,HDCP_V_A4),0))</f>
        <v>0</v>
      </c>
      <c r="T7" s="6">
        <f t="shared" si="5"/>
        <v>29</v>
      </c>
      <c r="V7" s="13">
        <v>5</v>
      </c>
      <c r="W7" s="14">
        <v>2.1250000000000002E-2</v>
      </c>
      <c r="X7" s="1">
        <f t="shared" si="6"/>
        <v>26</v>
      </c>
      <c r="Y7" s="6" cm="1">
        <f t="array" ref="Y7">IF(COUNT(V$5:V$48)=0,"",
   IFERROR(CHOOSE($B7,HDCP_V_A1,HDCP_V_A2,HDCP_V_A3,HDCP_V_A4),0))</f>
        <v>0</v>
      </c>
      <c r="Z7" s="6">
        <f t="shared" si="7"/>
        <v>26</v>
      </c>
      <c r="AB7" s="13">
        <v>4</v>
      </c>
      <c r="AC7" s="14">
        <v>4.1921296296296297E-2</v>
      </c>
      <c r="AD7" s="1">
        <f t="shared" si="8"/>
        <v>27</v>
      </c>
      <c r="AE7" s="6" cm="1">
        <f t="array" ref="AE7">IF(COUNT(AB$5:AB$48)=0,"",
   IFERROR(CHOOSE($B7,HDCP_V_A1,HDCP_V_A2,HDCP_V_A3,HDCP_V_A4),0))</f>
        <v>0</v>
      </c>
      <c r="AF7" s="6">
        <f t="shared" si="9"/>
        <v>27</v>
      </c>
      <c r="AH7" s="13"/>
      <c r="AI7" s="14"/>
      <c r="AJ7" s="1" t="str">
        <f t="shared" si="10"/>
        <v/>
      </c>
      <c r="AK7" s="6" t="str" cm="1">
        <f t="array" ref="AK7">IF(COUNT(AH$5:AH$48)=0,"",
   IFERROR(CHOOSE($B7,HDCP_V_A1,HDCP_V_A2,HDCP_V_A3,HDCP_V_A4),0))</f>
        <v/>
      </c>
      <c r="AL7" s="6" t="str">
        <f t="shared" si="11"/>
        <v/>
      </c>
      <c r="AN7" s="13"/>
      <c r="AO7" s="14"/>
      <c r="AP7" s="1" t="str">
        <f t="shared" si="12"/>
        <v/>
      </c>
      <c r="AQ7" s="6" t="str" cm="1">
        <f t="array" ref="AQ7">IF(COUNT(AN$5:AN$48)=0,"",
   IFERROR(CHOOSE($B7,HDCP_V_A1,HDCP_V_A2,HDCP_V_A3,HDCP_V_A4),0))</f>
        <v/>
      </c>
      <c r="AR7" s="6" t="str">
        <f t="shared" si="13"/>
        <v/>
      </c>
      <c r="AT7" s="1">
        <f t="shared" si="14"/>
        <v>138</v>
      </c>
      <c r="AU7" s="3">
        <f t="shared" si="15"/>
        <v>138</v>
      </c>
    </row>
    <row r="8" spans="1:47" x14ac:dyDescent="0.2">
      <c r="A8" s="12" t="s">
        <v>14</v>
      </c>
      <c r="B8" s="13">
        <v>1</v>
      </c>
      <c r="D8" s="13">
        <v>10</v>
      </c>
      <c r="E8" s="14">
        <v>2.4282407407407409E-2</v>
      </c>
      <c r="F8" s="1">
        <f t="shared" si="0"/>
        <v>21</v>
      </c>
      <c r="G8" s="6" cm="1">
        <f t="array" ref="G8">IF(COUNT(D$5:D$48)=0,"",
   IFERROR(CHOOSE($B8,HDCP_V_A1,HDCP_V_A2,HDCP_V_A3,HDCP_V_A4),0))</f>
        <v>0</v>
      </c>
      <c r="H8" s="6">
        <f t="shared" si="1"/>
        <v>21</v>
      </c>
      <c r="J8" s="13">
        <v>27</v>
      </c>
      <c r="K8" s="14">
        <v>2.4537037037037038E-2</v>
      </c>
      <c r="L8" s="1">
        <f t="shared" si="2"/>
        <v>4</v>
      </c>
      <c r="M8" s="6" cm="1">
        <f t="array" ref="M8">IF(COUNT(J$5:J$48)=0,"",
   IFERROR(CHOOSE($B8,HDCP_V_A1,HDCP_V_A2,HDCP_V_A3,HDCP_V_A4),0))</f>
        <v>0</v>
      </c>
      <c r="N8" s="6">
        <f t="shared" si="3"/>
        <v>4</v>
      </c>
      <c r="P8" s="13">
        <v>10</v>
      </c>
      <c r="Q8" s="14">
        <v>3.1921296296296295E-2</v>
      </c>
      <c r="R8" s="1">
        <f t="shared" si="4"/>
        <v>21</v>
      </c>
      <c r="S8" s="6" cm="1">
        <f t="array" ref="S8">IF(COUNT(P$5:P$48)=0,"",
   IFERROR(CHOOSE($B8,HDCP_V_A1,HDCP_V_A2,HDCP_V_A3,HDCP_V_A4),0))</f>
        <v>0</v>
      </c>
      <c r="T8" s="6">
        <f t="shared" si="5"/>
        <v>21</v>
      </c>
      <c r="V8" s="13">
        <v>13</v>
      </c>
      <c r="W8" s="14">
        <v>2.1863425925925925E-2</v>
      </c>
      <c r="X8" s="1">
        <f t="shared" si="6"/>
        <v>18</v>
      </c>
      <c r="Y8" s="6" cm="1">
        <f t="array" ref="Y8">IF(COUNT(V$5:V$48)=0,"",
   IFERROR(CHOOSE($B8,HDCP_V_A1,HDCP_V_A2,HDCP_V_A3,HDCP_V_A4),0))</f>
        <v>0</v>
      </c>
      <c r="Z8" s="6">
        <f t="shared" si="7"/>
        <v>18</v>
      </c>
      <c r="AB8" s="13">
        <v>7</v>
      </c>
      <c r="AC8" s="14">
        <v>4.3240740740740739E-2</v>
      </c>
      <c r="AD8" s="1">
        <f t="shared" si="8"/>
        <v>24</v>
      </c>
      <c r="AE8" s="6" cm="1">
        <f t="array" ref="AE8">IF(COUNT(AB$5:AB$48)=0,"",
   IFERROR(CHOOSE($B8,HDCP_V_A1,HDCP_V_A2,HDCP_V_A3,HDCP_V_A4),0))</f>
        <v>0</v>
      </c>
      <c r="AF8" s="6">
        <f t="shared" si="9"/>
        <v>24</v>
      </c>
      <c r="AH8" s="13"/>
      <c r="AI8" s="14"/>
      <c r="AJ8" s="1" t="str">
        <f t="shared" si="10"/>
        <v/>
      </c>
      <c r="AK8" s="6" t="str" cm="1">
        <f t="array" ref="AK8">IF(COUNT(AH$5:AH$48)=0,"",
   IFERROR(CHOOSE($B8,HDCP_V_A1,HDCP_V_A2,HDCP_V_A3,HDCP_V_A4),0))</f>
        <v/>
      </c>
      <c r="AL8" s="6" t="str">
        <f t="shared" si="11"/>
        <v/>
      </c>
      <c r="AN8" s="13"/>
      <c r="AO8" s="14"/>
      <c r="AP8" s="1" t="str">
        <f t="shared" si="12"/>
        <v/>
      </c>
      <c r="AQ8" s="6" t="str" cm="1">
        <f t="array" ref="AQ8">IF(COUNT(AN$5:AN$48)=0,"",
   IFERROR(CHOOSE($B8,HDCP_V_A1,HDCP_V_A2,HDCP_V_A3,HDCP_V_A4),0))</f>
        <v/>
      </c>
      <c r="AR8" s="6" t="str">
        <f t="shared" si="13"/>
        <v/>
      </c>
      <c r="AT8" s="1">
        <f t="shared" si="14"/>
        <v>88</v>
      </c>
      <c r="AU8" s="3">
        <f t="shared" si="15"/>
        <v>88</v>
      </c>
    </row>
    <row r="9" spans="1:47" x14ac:dyDescent="0.2">
      <c r="A9" s="12" t="s">
        <v>12</v>
      </c>
      <c r="B9" s="13">
        <v>1</v>
      </c>
      <c r="D9" s="13">
        <v>1</v>
      </c>
      <c r="E9" s="15">
        <v>2.3715277777777776E-2</v>
      </c>
      <c r="F9" s="1">
        <f t="shared" si="0"/>
        <v>30</v>
      </c>
      <c r="G9" s="6" cm="1">
        <f t="array" ref="G9">IF(COUNT(D$5:D$48)=0,"",
   IFERROR(CHOOSE($B9,HDCP_V_A1,HDCP_V_A2,HDCP_V_A3,HDCP_V_A4),0))</f>
        <v>0</v>
      </c>
      <c r="H9" s="6">
        <f t="shared" si="1"/>
        <v>30</v>
      </c>
      <c r="J9" s="13">
        <v>3</v>
      </c>
      <c r="K9" s="14">
        <v>1.9976851851851853E-2</v>
      </c>
      <c r="L9" s="1">
        <f t="shared" si="2"/>
        <v>28</v>
      </c>
      <c r="M9" s="6" cm="1">
        <f t="array" ref="M9">IF(COUNT(J$5:J$48)=0,"",
   IFERROR(CHOOSE($B9,HDCP_V_A1,HDCP_V_A2,HDCP_V_A3,HDCP_V_A4),0))</f>
        <v>0</v>
      </c>
      <c r="N9" s="6">
        <f t="shared" si="3"/>
        <v>28</v>
      </c>
      <c r="P9" s="13">
        <v>1</v>
      </c>
      <c r="Q9" s="14">
        <v>2.960648148148148E-2</v>
      </c>
      <c r="R9" s="1">
        <f t="shared" si="4"/>
        <v>30</v>
      </c>
      <c r="S9" s="6" cm="1">
        <f t="array" ref="S9">IF(COUNT(P$5:P$48)=0,"",
   IFERROR(CHOOSE($B9,HDCP_V_A1,HDCP_V_A2,HDCP_V_A3,HDCP_V_A4),0))</f>
        <v>0</v>
      </c>
      <c r="T9" s="6">
        <f t="shared" si="5"/>
        <v>30</v>
      </c>
      <c r="V9" s="13">
        <v>1</v>
      </c>
      <c r="W9" s="14">
        <v>2.0729166666666667E-2</v>
      </c>
      <c r="X9" s="1">
        <f t="shared" si="6"/>
        <v>30</v>
      </c>
      <c r="Y9" s="6" cm="1">
        <f t="array" ref="Y9">IF(COUNT(V$5:V$48)=0,"",
   IFERROR(CHOOSE($B9,HDCP_V_A1,HDCP_V_A2,HDCP_V_A3,HDCP_V_A4),0))</f>
        <v>0</v>
      </c>
      <c r="Z9" s="6">
        <f t="shared" si="7"/>
        <v>30</v>
      </c>
      <c r="AB9" s="13">
        <v>2</v>
      </c>
      <c r="AC9" s="14">
        <v>4.1724537037037039E-2</v>
      </c>
      <c r="AD9" s="1">
        <f t="shared" si="8"/>
        <v>29</v>
      </c>
      <c r="AE9" s="6" cm="1">
        <f t="array" ref="AE9">IF(COUNT(AB$5:AB$48)=0,"",
   IFERROR(CHOOSE($B9,HDCP_V_A1,HDCP_V_A2,HDCP_V_A3,HDCP_V_A4),0))</f>
        <v>0</v>
      </c>
      <c r="AF9" s="6">
        <f t="shared" si="9"/>
        <v>29</v>
      </c>
      <c r="AH9" s="13"/>
      <c r="AI9" s="14"/>
      <c r="AJ9" s="1" t="str">
        <f t="shared" si="10"/>
        <v/>
      </c>
      <c r="AK9" s="6" t="str" cm="1">
        <f t="array" ref="AK9">IF(COUNT(AH$5:AH$48)=0,"",
   IFERROR(CHOOSE($B9,HDCP_V_A1,HDCP_V_A2,HDCP_V_A3,HDCP_V_A4),0))</f>
        <v/>
      </c>
      <c r="AL9" s="6" t="str">
        <f t="shared" si="11"/>
        <v/>
      </c>
      <c r="AN9" s="13"/>
      <c r="AO9" s="14"/>
      <c r="AP9" s="1" t="str">
        <f t="shared" si="12"/>
        <v/>
      </c>
      <c r="AQ9" s="6" t="str" cm="1">
        <f t="array" ref="AQ9">IF(COUNT(AN$5:AN$48)=0,"",
   IFERROR(CHOOSE($B9,HDCP_V_A1,HDCP_V_A2,HDCP_V_A3,HDCP_V_A4),0))</f>
        <v/>
      </c>
      <c r="AR9" s="6" t="str">
        <f t="shared" si="13"/>
        <v/>
      </c>
      <c r="AT9" s="1">
        <f t="shared" si="14"/>
        <v>147</v>
      </c>
      <c r="AU9" s="3">
        <f t="shared" si="15"/>
        <v>147</v>
      </c>
    </row>
    <row r="10" spans="1:47" x14ac:dyDescent="0.2">
      <c r="A10" s="12" t="s">
        <v>47</v>
      </c>
      <c r="B10" s="13">
        <v>2</v>
      </c>
      <c r="D10" s="13">
        <v>13</v>
      </c>
      <c r="E10" s="15">
        <v>2.4687500000000001E-2</v>
      </c>
      <c r="F10" s="1">
        <f t="shared" si="0"/>
        <v>18</v>
      </c>
      <c r="G10" s="6" cm="1">
        <f t="array" ref="G10">IF(COUNT(D$5:D$48)=0,"",
   IFERROR(CHOOSE($B10,HDCP_V_A1,HDCP_V_A2,HDCP_V_A3,HDCP_V_A4),0))</f>
        <v>6</v>
      </c>
      <c r="H10" s="6">
        <f t="shared" si="1"/>
        <v>24</v>
      </c>
      <c r="J10" s="13">
        <v>12</v>
      </c>
      <c r="K10" s="15">
        <v>2.0335648148148148E-2</v>
      </c>
      <c r="L10" s="1">
        <f t="shared" si="2"/>
        <v>19</v>
      </c>
      <c r="M10" s="6" cm="1">
        <f t="array" ref="M10">IF(COUNT(J$5:J$48)=0,"",
   IFERROR(CHOOSE($B10,HDCP_V_A1,HDCP_V_A2,HDCP_V_A3,HDCP_V_A4),0))</f>
        <v>6</v>
      </c>
      <c r="N10" s="6">
        <f t="shared" si="3"/>
        <v>25</v>
      </c>
      <c r="P10" s="13">
        <v>11</v>
      </c>
      <c r="Q10" s="14">
        <v>3.2094907407407405E-2</v>
      </c>
      <c r="R10" s="1">
        <f t="shared" si="4"/>
        <v>20</v>
      </c>
      <c r="S10" s="6" cm="1">
        <f t="array" ref="S10">IF(COUNT(P$5:P$48)=0,"",
   IFERROR(CHOOSE($B10,HDCP_V_A1,HDCP_V_A2,HDCP_V_A3,HDCP_V_A4),0))</f>
        <v>6</v>
      </c>
      <c r="T10" s="6">
        <f t="shared" si="5"/>
        <v>26</v>
      </c>
      <c r="V10" s="13">
        <v>19</v>
      </c>
      <c r="W10" s="14">
        <v>2.2499999999999999E-2</v>
      </c>
      <c r="X10" s="1">
        <f t="shared" si="6"/>
        <v>12</v>
      </c>
      <c r="Y10" s="6" cm="1">
        <f t="array" ref="Y10">IF(COUNT(V$5:V$48)=0,"",
   IFERROR(CHOOSE($B10,HDCP_V_A1,HDCP_V_A2,HDCP_V_A3,HDCP_V_A4),0))</f>
        <v>6</v>
      </c>
      <c r="Z10" s="6">
        <f t="shared" si="7"/>
        <v>18</v>
      </c>
      <c r="AB10" s="13">
        <v>10</v>
      </c>
      <c r="AC10" s="14">
        <v>4.4467592592592593E-2</v>
      </c>
      <c r="AD10" s="1">
        <f t="shared" si="8"/>
        <v>21</v>
      </c>
      <c r="AE10" s="6" cm="1">
        <f t="array" ref="AE10">IF(COUNT(AB$5:AB$48)=0,"",
   IFERROR(CHOOSE($B10,HDCP_V_A1,HDCP_V_A2,HDCP_V_A3,HDCP_V_A4),0))</f>
        <v>6</v>
      </c>
      <c r="AF10" s="6">
        <f t="shared" si="9"/>
        <v>27</v>
      </c>
      <c r="AH10" s="13"/>
      <c r="AI10" s="14"/>
      <c r="AJ10" s="1" t="str">
        <f t="shared" si="10"/>
        <v/>
      </c>
      <c r="AK10" s="6" t="str" cm="1">
        <f t="array" ref="AK10">IF(COUNT(AH$5:AH$48)=0,"",
   IFERROR(CHOOSE($B10,HDCP_V_A1,HDCP_V_A2,HDCP_V_A3,HDCP_V_A4),0))</f>
        <v/>
      </c>
      <c r="AL10" s="6" t="str">
        <f t="shared" si="11"/>
        <v/>
      </c>
      <c r="AN10" s="13"/>
      <c r="AO10" s="14"/>
      <c r="AP10" s="1" t="str">
        <f t="shared" si="12"/>
        <v/>
      </c>
      <c r="AQ10" s="6" t="str" cm="1">
        <f t="array" ref="AQ10">IF(COUNT(AN$5:AN$48)=0,"",
   IFERROR(CHOOSE($B10,HDCP_V_A1,HDCP_V_A2,HDCP_V_A3,HDCP_V_A4),0))</f>
        <v/>
      </c>
      <c r="AR10" s="6" t="str">
        <f t="shared" si="13"/>
        <v/>
      </c>
      <c r="AT10" s="1">
        <f t="shared" si="14"/>
        <v>90</v>
      </c>
      <c r="AU10" s="3">
        <f t="shared" si="15"/>
        <v>120</v>
      </c>
    </row>
    <row r="11" spans="1:47" x14ac:dyDescent="0.2">
      <c r="A11" s="12" t="s">
        <v>1</v>
      </c>
      <c r="B11" s="13">
        <v>2</v>
      </c>
      <c r="D11" s="13">
        <v>11</v>
      </c>
      <c r="E11" s="15">
        <v>2.431712962962963E-2</v>
      </c>
      <c r="F11" s="1">
        <f t="shared" si="0"/>
        <v>20</v>
      </c>
      <c r="G11" s="6" cm="1">
        <f t="array" ref="G11">IF(COUNT(D$5:D$48)=0,"",
   IFERROR(CHOOSE($B11,HDCP_V_A1,HDCP_V_A2,HDCP_V_A3,HDCP_V_A4),0))</f>
        <v>6</v>
      </c>
      <c r="H11" s="6">
        <f t="shared" si="1"/>
        <v>26</v>
      </c>
      <c r="J11" s="13">
        <v>10</v>
      </c>
      <c r="K11" s="15">
        <v>2.0300925925925927E-2</v>
      </c>
      <c r="L11" s="1">
        <f t="shared" si="2"/>
        <v>21</v>
      </c>
      <c r="M11" s="6" cm="1">
        <f t="array" ref="M11">IF(COUNT(J$5:J$48)=0,"",
   IFERROR(CHOOSE($B11,HDCP_V_A1,HDCP_V_A2,HDCP_V_A3,HDCP_V_A4),0))</f>
        <v>6</v>
      </c>
      <c r="N11" s="6">
        <f t="shared" si="3"/>
        <v>27</v>
      </c>
      <c r="P11" s="13">
        <v>7</v>
      </c>
      <c r="Q11" s="14">
        <v>3.1203703703703702E-2</v>
      </c>
      <c r="R11" s="1">
        <f t="shared" si="4"/>
        <v>24</v>
      </c>
      <c r="S11" s="6" cm="1">
        <f t="array" ref="S11">IF(COUNT(P$5:P$48)=0,"",
   IFERROR(CHOOSE($B11,HDCP_V_A1,HDCP_V_A2,HDCP_V_A3,HDCP_V_A4),0))</f>
        <v>6</v>
      </c>
      <c r="T11" s="6">
        <f t="shared" si="5"/>
        <v>30</v>
      </c>
      <c r="V11" s="13">
        <v>8</v>
      </c>
      <c r="W11" s="14">
        <v>3.5358796296296298E-2</v>
      </c>
      <c r="X11" s="1">
        <f t="shared" si="6"/>
        <v>23</v>
      </c>
      <c r="Y11" s="6" cm="1">
        <f t="array" ref="Y11">IF(COUNT(V$5:V$48)=0,"",
   IFERROR(CHOOSE($B11,HDCP_V_A1,HDCP_V_A2,HDCP_V_A3,HDCP_V_A4),0))</f>
        <v>6</v>
      </c>
      <c r="Z11" s="6">
        <f t="shared" si="7"/>
        <v>29</v>
      </c>
      <c r="AB11" s="13">
        <v>11</v>
      </c>
      <c r="AC11" s="14">
        <v>4.462962962962963E-2</v>
      </c>
      <c r="AD11" s="1">
        <f t="shared" si="8"/>
        <v>20</v>
      </c>
      <c r="AE11" s="6" cm="1">
        <f t="array" ref="AE11">IF(COUNT(AB$5:AB$48)=0,"",
   IFERROR(CHOOSE($B11,HDCP_V_A1,HDCP_V_A2,HDCP_V_A3,HDCP_V_A4),0))</f>
        <v>6</v>
      </c>
      <c r="AF11" s="6">
        <f t="shared" si="9"/>
        <v>26</v>
      </c>
      <c r="AH11" s="13"/>
      <c r="AI11" s="14"/>
      <c r="AJ11" s="1" t="str">
        <f t="shared" si="10"/>
        <v/>
      </c>
      <c r="AK11" s="6" t="str" cm="1">
        <f t="array" ref="AK11">IF(COUNT(AH$5:AH$48)=0,"",
   IFERROR(CHOOSE($B11,HDCP_V_A1,HDCP_V_A2,HDCP_V_A3,HDCP_V_A4),0))</f>
        <v/>
      </c>
      <c r="AL11" s="6" t="str">
        <f t="shared" si="11"/>
        <v/>
      </c>
      <c r="AN11" s="13"/>
      <c r="AO11" s="14"/>
      <c r="AP11" s="1" t="str">
        <f t="shared" si="12"/>
        <v/>
      </c>
      <c r="AQ11" s="6" t="str" cm="1">
        <f t="array" ref="AQ11">IF(COUNT(AN$5:AN$48)=0,"",
   IFERROR(CHOOSE($B11,HDCP_V_A1,HDCP_V_A2,HDCP_V_A3,HDCP_V_A4),0))</f>
        <v/>
      </c>
      <c r="AR11" s="6" t="str">
        <f t="shared" si="13"/>
        <v/>
      </c>
      <c r="AT11" s="1">
        <f t="shared" si="14"/>
        <v>108</v>
      </c>
      <c r="AU11" s="3">
        <f t="shared" si="15"/>
        <v>138</v>
      </c>
    </row>
    <row r="12" spans="1:47" x14ac:dyDescent="0.2">
      <c r="A12" s="12" t="s">
        <v>11</v>
      </c>
      <c r="B12" s="13">
        <v>2</v>
      </c>
      <c r="D12" s="13">
        <v>6</v>
      </c>
      <c r="E12" s="15">
        <v>2.3831018518518519E-2</v>
      </c>
      <c r="F12" s="1">
        <f t="shared" si="0"/>
        <v>25</v>
      </c>
      <c r="G12" s="6" cm="1">
        <f t="array" ref="G12">IF(COUNT(D$5:D$48)=0,"",
   IFERROR(CHOOSE($B12,HDCP_V_A1,HDCP_V_A2,HDCP_V_A3,HDCP_V_A4),0))</f>
        <v>6</v>
      </c>
      <c r="H12" s="6">
        <f t="shared" si="1"/>
        <v>30</v>
      </c>
      <c r="J12" s="13">
        <v>6</v>
      </c>
      <c r="K12" s="15">
        <v>2.0104166666666666E-2</v>
      </c>
      <c r="L12" s="1">
        <f t="shared" si="2"/>
        <v>25</v>
      </c>
      <c r="M12" s="6" cm="1">
        <f t="array" ref="M12">IF(COUNT(J$5:J$48)=0,"",
   IFERROR(CHOOSE($B12,HDCP_V_A1,HDCP_V_A2,HDCP_V_A3,HDCP_V_A4),0))</f>
        <v>6</v>
      </c>
      <c r="N12" s="6">
        <f t="shared" si="3"/>
        <v>30</v>
      </c>
      <c r="P12" s="13">
        <v>5</v>
      </c>
      <c r="Q12" s="14">
        <v>3.0636574074074073E-2</v>
      </c>
      <c r="R12" s="1">
        <f t="shared" si="4"/>
        <v>26</v>
      </c>
      <c r="S12" s="6" cm="1">
        <f t="array" ref="S12">IF(COUNT(P$5:P$48)=0,"",
   IFERROR(CHOOSE($B12,HDCP_V_A1,HDCP_V_A2,HDCP_V_A3,HDCP_V_A4),0))</f>
        <v>6</v>
      </c>
      <c r="T12" s="6">
        <f t="shared" si="5"/>
        <v>30</v>
      </c>
      <c r="V12" s="13">
        <v>6</v>
      </c>
      <c r="W12" s="14">
        <v>2.1284722222222222E-2</v>
      </c>
      <c r="X12" s="1">
        <f t="shared" si="6"/>
        <v>25</v>
      </c>
      <c r="Y12" s="6" cm="1">
        <f t="array" ref="Y12">IF(COUNT(V$5:V$48)=0,"",
   IFERROR(CHOOSE($B12,HDCP_V_A1,HDCP_V_A2,HDCP_V_A3,HDCP_V_A4),0))</f>
        <v>6</v>
      </c>
      <c r="Z12" s="6">
        <f t="shared" si="7"/>
        <v>30</v>
      </c>
      <c r="AB12" s="13">
        <v>5</v>
      </c>
      <c r="AC12" s="14">
        <v>4.2048611111111113E-2</v>
      </c>
      <c r="AD12" s="1">
        <f t="shared" si="8"/>
        <v>26</v>
      </c>
      <c r="AE12" s="6" cm="1">
        <f t="array" ref="AE12">IF(COUNT(AB$5:AB$48)=0,"",
   IFERROR(CHOOSE($B12,HDCP_V_A1,HDCP_V_A2,HDCP_V_A3,HDCP_V_A4),0))</f>
        <v>6</v>
      </c>
      <c r="AF12" s="6">
        <f t="shared" si="9"/>
        <v>30</v>
      </c>
      <c r="AH12" s="13"/>
      <c r="AI12" s="14"/>
      <c r="AJ12" s="1" t="str">
        <f t="shared" si="10"/>
        <v/>
      </c>
      <c r="AK12" s="6" t="str" cm="1">
        <f t="array" ref="AK12">IF(COUNT(AH$5:AH$48)=0,"",
   IFERROR(CHOOSE($B12,HDCP_V_A1,HDCP_V_A2,HDCP_V_A3,HDCP_V_A4),0))</f>
        <v/>
      </c>
      <c r="AL12" s="6" t="str">
        <f t="shared" si="11"/>
        <v/>
      </c>
      <c r="AN12" s="13"/>
      <c r="AO12" s="14"/>
      <c r="AP12" s="1" t="str">
        <f t="shared" si="12"/>
        <v/>
      </c>
      <c r="AQ12" s="6" t="str" cm="1">
        <f t="array" ref="AQ12">IF(COUNT(AN$5:AN$48)=0,"",
   IFERROR(CHOOSE($B12,HDCP_V_A1,HDCP_V_A2,HDCP_V_A3,HDCP_V_A4),0))</f>
        <v/>
      </c>
      <c r="AR12" s="6" t="str">
        <f t="shared" si="13"/>
        <v/>
      </c>
      <c r="AT12" s="1">
        <f t="shared" si="14"/>
        <v>127</v>
      </c>
      <c r="AU12" s="3">
        <f t="shared" si="15"/>
        <v>150</v>
      </c>
    </row>
    <row r="13" spans="1:47" x14ac:dyDescent="0.2">
      <c r="A13" s="12" t="s">
        <v>4</v>
      </c>
      <c r="B13" s="13">
        <v>2</v>
      </c>
      <c r="D13" s="13">
        <v>9</v>
      </c>
      <c r="E13" s="14">
        <v>2.4016203703703703E-2</v>
      </c>
      <c r="F13" s="1">
        <f t="shared" si="0"/>
        <v>22</v>
      </c>
      <c r="G13" s="6" cm="1">
        <f t="array" ref="G13">IF(COUNT(D$5:D$48)=0,"",
   IFERROR(CHOOSE($B13,HDCP_V_A1,HDCP_V_A2,HDCP_V_A3,HDCP_V_A4),0))</f>
        <v>6</v>
      </c>
      <c r="H13" s="6">
        <f t="shared" si="1"/>
        <v>28</v>
      </c>
      <c r="J13" s="13">
        <v>7</v>
      </c>
      <c r="K13" s="15">
        <v>2.0104166666666666E-2</v>
      </c>
      <c r="L13" s="1">
        <f t="shared" si="2"/>
        <v>24</v>
      </c>
      <c r="M13" s="6" cm="1">
        <f t="array" ref="M13">IF(COUNT(J$5:J$48)=0,"",
   IFERROR(CHOOSE($B13,HDCP_V_A1,HDCP_V_A2,HDCP_V_A3,HDCP_V_A4),0))</f>
        <v>6</v>
      </c>
      <c r="N13" s="6">
        <f t="shared" si="3"/>
        <v>30</v>
      </c>
      <c r="P13" s="13">
        <v>13</v>
      </c>
      <c r="Q13" s="14">
        <v>3.2349537037037038E-2</v>
      </c>
      <c r="R13" s="1">
        <f t="shared" si="4"/>
        <v>18</v>
      </c>
      <c r="S13" s="6" cm="1">
        <f t="array" ref="S13">IF(COUNT(P$5:P$48)=0,"",
   IFERROR(CHOOSE($B13,HDCP_V_A1,HDCP_V_A2,HDCP_V_A3,HDCP_V_A4),0))</f>
        <v>6</v>
      </c>
      <c r="T13" s="6">
        <f t="shared" si="5"/>
        <v>24</v>
      </c>
      <c r="V13" s="13">
        <v>4</v>
      </c>
      <c r="W13" s="14">
        <v>2.0914351851851851E-2</v>
      </c>
      <c r="X13" s="1">
        <f t="shared" si="6"/>
        <v>27</v>
      </c>
      <c r="Y13" s="6" cm="1">
        <f t="array" ref="Y13">IF(COUNT(V$5:V$48)=0,"",
   IFERROR(CHOOSE($B13,HDCP_V_A1,HDCP_V_A2,HDCP_V_A3,HDCP_V_A4),0))</f>
        <v>6</v>
      </c>
      <c r="Z13" s="6">
        <f t="shared" si="7"/>
        <v>30</v>
      </c>
      <c r="AB13" s="13">
        <v>8</v>
      </c>
      <c r="AC13" s="14">
        <v>4.3252314814814813E-2</v>
      </c>
      <c r="AD13" s="1">
        <f t="shared" si="8"/>
        <v>23</v>
      </c>
      <c r="AE13" s="6" cm="1">
        <f t="array" ref="AE13">IF(COUNT(AB$5:AB$48)=0,"",
   IFERROR(CHOOSE($B13,HDCP_V_A1,HDCP_V_A2,HDCP_V_A3,HDCP_V_A4),0))</f>
        <v>6</v>
      </c>
      <c r="AF13" s="6">
        <f t="shared" si="9"/>
        <v>29</v>
      </c>
      <c r="AH13" s="13"/>
      <c r="AI13" s="14"/>
      <c r="AJ13" s="1" t="str">
        <f t="shared" si="10"/>
        <v/>
      </c>
      <c r="AK13" s="6" t="str" cm="1">
        <f t="array" ref="AK13">IF(COUNT(AH$5:AH$48)=0,"",
   IFERROR(CHOOSE($B13,HDCP_V_A1,HDCP_V_A2,HDCP_V_A3,HDCP_V_A4),0))</f>
        <v/>
      </c>
      <c r="AL13" s="6" t="str">
        <f t="shared" si="11"/>
        <v/>
      </c>
      <c r="AN13" s="13"/>
      <c r="AO13" s="14"/>
      <c r="AP13" s="1" t="str">
        <f t="shared" si="12"/>
        <v/>
      </c>
      <c r="AQ13" s="6" t="str" cm="1">
        <f t="array" ref="AQ13">IF(COUNT(AN$5:AN$48)=0,"",
   IFERROR(CHOOSE($B13,HDCP_V_A1,HDCP_V_A2,HDCP_V_A3,HDCP_V_A4),0))</f>
        <v/>
      </c>
      <c r="AR13" s="6" t="str">
        <f t="shared" si="13"/>
        <v/>
      </c>
      <c r="AT13" s="1">
        <f t="shared" si="14"/>
        <v>114</v>
      </c>
      <c r="AU13" s="3">
        <f t="shared" si="15"/>
        <v>141</v>
      </c>
    </row>
    <row r="14" spans="1:47" x14ac:dyDescent="0.2">
      <c r="A14" s="12" t="s">
        <v>5</v>
      </c>
      <c r="B14" s="13">
        <v>2</v>
      </c>
      <c r="D14" s="13">
        <v>8</v>
      </c>
      <c r="E14" s="15">
        <v>2.3912037037037037E-2</v>
      </c>
      <c r="F14" s="1">
        <f t="shared" si="0"/>
        <v>23</v>
      </c>
      <c r="G14" s="6" cm="1">
        <f t="array" ref="G14">IF(COUNT(D$5:D$48)=0,"",
   IFERROR(CHOOSE($B14,HDCP_V_A1,HDCP_V_A2,HDCP_V_A3,HDCP_V_A4),0))</f>
        <v>6</v>
      </c>
      <c r="H14" s="6">
        <f t="shared" si="1"/>
        <v>29</v>
      </c>
      <c r="J14" s="13">
        <v>9</v>
      </c>
      <c r="K14" s="15">
        <v>2.0277777777777777E-2</v>
      </c>
      <c r="L14" s="1">
        <f t="shared" si="2"/>
        <v>22</v>
      </c>
      <c r="M14" s="6" cm="1">
        <f t="array" ref="M14">IF(COUNT(J$5:J$48)=0,"",
   IFERROR(CHOOSE($B14,HDCP_V_A1,HDCP_V_A2,HDCP_V_A3,HDCP_V_A4),0))</f>
        <v>6</v>
      </c>
      <c r="N14" s="6">
        <f t="shared" si="3"/>
        <v>28</v>
      </c>
      <c r="P14" s="13">
        <v>9</v>
      </c>
      <c r="Q14" s="14">
        <v>3.1863425925925927E-2</v>
      </c>
      <c r="R14" s="1">
        <f t="shared" si="4"/>
        <v>22</v>
      </c>
      <c r="S14" s="6" cm="1">
        <f t="array" ref="S14">IF(COUNT(P$5:P$48)=0,"",
   IFERROR(CHOOSE($B14,HDCP_V_A1,HDCP_V_A2,HDCP_V_A3,HDCP_V_A4),0))</f>
        <v>6</v>
      </c>
      <c r="T14" s="6">
        <f t="shared" si="5"/>
        <v>28</v>
      </c>
      <c r="V14" s="13">
        <v>7</v>
      </c>
      <c r="W14" s="14">
        <v>2.1435185185185186E-2</v>
      </c>
      <c r="X14" s="1">
        <f t="shared" si="6"/>
        <v>24</v>
      </c>
      <c r="Y14" s="6" cm="1">
        <f t="array" ref="Y14">IF(COUNT(V$5:V$48)=0,"",
   IFERROR(CHOOSE($B14,HDCP_V_A1,HDCP_V_A2,HDCP_V_A3,HDCP_V_A4),0))</f>
        <v>6</v>
      </c>
      <c r="Z14" s="6">
        <f t="shared" si="7"/>
        <v>30</v>
      </c>
      <c r="AB14" s="13">
        <v>9</v>
      </c>
      <c r="AC14" s="14">
        <v>4.4155092592592593E-2</v>
      </c>
      <c r="AD14" s="1">
        <f t="shared" si="8"/>
        <v>22</v>
      </c>
      <c r="AE14" s="6" cm="1">
        <f t="array" ref="AE14">IF(COUNT(AB$5:AB$48)=0,"",
   IFERROR(CHOOSE($B14,HDCP_V_A1,HDCP_V_A2,HDCP_V_A3,HDCP_V_A4),0))</f>
        <v>6</v>
      </c>
      <c r="AF14" s="6">
        <f t="shared" si="9"/>
        <v>28</v>
      </c>
      <c r="AH14" s="13"/>
      <c r="AI14" s="14"/>
      <c r="AJ14" s="1" t="str">
        <f t="shared" si="10"/>
        <v/>
      </c>
      <c r="AK14" s="6" t="str" cm="1">
        <f t="array" ref="AK14">IF(COUNT(AH$5:AH$48)=0,"",
   IFERROR(CHOOSE($B14,HDCP_V_A1,HDCP_V_A2,HDCP_V_A3,HDCP_V_A4),0))</f>
        <v/>
      </c>
      <c r="AL14" s="6" t="str">
        <f t="shared" si="11"/>
        <v/>
      </c>
      <c r="AN14" s="13"/>
      <c r="AO14" s="14"/>
      <c r="AP14" s="1" t="str">
        <f t="shared" si="12"/>
        <v/>
      </c>
      <c r="AQ14" s="6" t="str" cm="1">
        <f t="array" ref="AQ14">IF(COUNT(AN$5:AN$48)=0,"",
   IFERROR(CHOOSE($B14,HDCP_V_A1,HDCP_V_A2,HDCP_V_A3,HDCP_V_A4),0))</f>
        <v/>
      </c>
      <c r="AR14" s="6" t="str">
        <f t="shared" si="13"/>
        <v/>
      </c>
      <c r="AT14" s="1">
        <f t="shared" si="14"/>
        <v>113</v>
      </c>
      <c r="AU14" s="3">
        <f t="shared" si="15"/>
        <v>143</v>
      </c>
    </row>
    <row r="15" spans="1:47" x14ac:dyDescent="0.2">
      <c r="A15" s="12" t="s">
        <v>15</v>
      </c>
      <c r="B15" s="13">
        <v>2</v>
      </c>
      <c r="D15" s="13">
        <v>12</v>
      </c>
      <c r="E15" s="15">
        <v>2.4432870370370369E-2</v>
      </c>
      <c r="F15" s="1">
        <f t="shared" si="0"/>
        <v>19</v>
      </c>
      <c r="G15" s="6" cm="1">
        <f t="array" ref="G15">IF(COUNT(D$5:D$48)=0,"",
   IFERROR(CHOOSE($B15,HDCP_V_A1,HDCP_V_A2,HDCP_V_A3,HDCP_V_A4),0))</f>
        <v>6</v>
      </c>
      <c r="H15" s="6">
        <f t="shared" si="1"/>
        <v>25</v>
      </c>
      <c r="J15" s="13">
        <v>11</v>
      </c>
      <c r="K15" s="15">
        <v>2.0335648148148148E-2</v>
      </c>
      <c r="L15" s="1">
        <f t="shared" si="2"/>
        <v>20</v>
      </c>
      <c r="M15" s="6" cm="1">
        <f t="array" ref="M15">IF(COUNT(J$5:J$48)=0,"",
   IFERROR(CHOOSE($B15,HDCP_V_A1,HDCP_V_A2,HDCP_V_A3,HDCP_V_A4),0))</f>
        <v>6</v>
      </c>
      <c r="N15" s="6">
        <f t="shared" si="3"/>
        <v>26</v>
      </c>
      <c r="P15" s="13">
        <v>12</v>
      </c>
      <c r="Q15" s="14">
        <v>3.2106481481481479E-2</v>
      </c>
      <c r="R15" s="1">
        <f t="shared" si="4"/>
        <v>19</v>
      </c>
      <c r="S15" s="6" cm="1">
        <f t="array" ref="S15">IF(COUNT(P$5:P$48)=0,"",
   IFERROR(CHOOSE($B15,HDCP_V_A1,HDCP_V_A2,HDCP_V_A3,HDCP_V_A4),0))</f>
        <v>6</v>
      </c>
      <c r="T15" s="6">
        <f t="shared" si="5"/>
        <v>25</v>
      </c>
      <c r="V15" s="13">
        <v>9</v>
      </c>
      <c r="W15" s="14">
        <v>2.1597222222222223E-2</v>
      </c>
      <c r="X15" s="1">
        <f t="shared" si="6"/>
        <v>22</v>
      </c>
      <c r="Y15" s="6" cm="1">
        <f t="array" ref="Y15">IF(COUNT(V$5:V$48)=0,"",
   IFERROR(CHOOSE($B15,HDCP_V_A1,HDCP_V_A2,HDCP_V_A3,HDCP_V_A4),0))</f>
        <v>6</v>
      </c>
      <c r="Z15" s="6">
        <f t="shared" si="7"/>
        <v>28</v>
      </c>
      <c r="AB15" s="13">
        <v>13</v>
      </c>
      <c r="AC15" s="14">
        <v>4.5023148148148145E-2</v>
      </c>
      <c r="AD15" s="1">
        <f t="shared" si="8"/>
        <v>18</v>
      </c>
      <c r="AE15" s="6" cm="1">
        <f t="array" ref="AE15">IF(COUNT(AB$5:AB$48)=0,"",
   IFERROR(CHOOSE($B15,HDCP_V_A1,HDCP_V_A2,HDCP_V_A3,HDCP_V_A4),0))</f>
        <v>6</v>
      </c>
      <c r="AF15" s="6">
        <f t="shared" si="9"/>
        <v>24</v>
      </c>
      <c r="AH15" s="13"/>
      <c r="AI15" s="14"/>
      <c r="AJ15" s="1" t="str">
        <f t="shared" si="10"/>
        <v/>
      </c>
      <c r="AK15" s="6" t="str" cm="1">
        <f t="array" ref="AK15">IF(COUNT(AH$5:AH$48)=0,"",
   IFERROR(CHOOSE($B15,HDCP_V_A1,HDCP_V_A2,HDCP_V_A3,HDCP_V_A4),0))</f>
        <v/>
      </c>
      <c r="AL15" s="6" t="str">
        <f t="shared" si="11"/>
        <v/>
      </c>
      <c r="AN15" s="13"/>
      <c r="AO15" s="14"/>
      <c r="AP15" s="1" t="str">
        <f t="shared" si="12"/>
        <v/>
      </c>
      <c r="AQ15" s="6" t="str" cm="1">
        <f t="array" ref="AQ15">IF(COUNT(AN$5:AN$48)=0,"",
   IFERROR(CHOOSE($B15,HDCP_V_A1,HDCP_V_A2,HDCP_V_A3,HDCP_V_A4),0))</f>
        <v/>
      </c>
      <c r="AR15" s="6" t="str">
        <f t="shared" si="13"/>
        <v/>
      </c>
      <c r="AT15" s="1">
        <f t="shared" si="14"/>
        <v>98</v>
      </c>
      <c r="AU15" s="3">
        <f t="shared" si="15"/>
        <v>128</v>
      </c>
    </row>
    <row r="16" spans="1:47" x14ac:dyDescent="0.2">
      <c r="A16" s="12" t="s">
        <v>48</v>
      </c>
      <c r="B16" s="13">
        <v>2</v>
      </c>
      <c r="D16" s="13">
        <v>21</v>
      </c>
      <c r="E16" s="15">
        <v>2.5358796296296296E-2</v>
      </c>
      <c r="F16" s="1">
        <f t="shared" si="0"/>
        <v>10</v>
      </c>
      <c r="G16" s="6" cm="1">
        <f t="array" ref="G16">IF(COUNT(D$5:D$48)=0,"",
   IFERROR(CHOOSE($B16,HDCP_V_A1,HDCP_V_A2,HDCP_V_A3,HDCP_V_A4),0))</f>
        <v>6</v>
      </c>
      <c r="H16" s="6">
        <f t="shared" si="1"/>
        <v>16</v>
      </c>
      <c r="J16" s="13">
        <v>26</v>
      </c>
      <c r="K16" s="14">
        <v>2.4537037037037038E-2</v>
      </c>
      <c r="L16" s="1">
        <f t="shared" si="2"/>
        <v>5</v>
      </c>
      <c r="M16" s="6" cm="1">
        <f t="array" ref="M16">IF(COUNT(J$5:J$48)=0,"",
   IFERROR(CHOOSE($B16,HDCP_V_A1,HDCP_V_A2,HDCP_V_A3,HDCP_V_A4),0))</f>
        <v>6</v>
      </c>
      <c r="N16" s="6">
        <f t="shared" si="3"/>
        <v>11</v>
      </c>
      <c r="P16" s="13">
        <v>25</v>
      </c>
      <c r="Q16" s="14">
        <v>3.8819444444444441E-2</v>
      </c>
      <c r="R16" s="1">
        <f t="shared" si="4"/>
        <v>6</v>
      </c>
      <c r="S16" s="6" cm="1">
        <f t="array" ref="S16">IF(COUNT(P$5:P$48)=0,"",
   IFERROR(CHOOSE($B16,HDCP_V_A1,HDCP_V_A2,HDCP_V_A3,HDCP_V_A4),0))</f>
        <v>6</v>
      </c>
      <c r="T16" s="6">
        <f t="shared" si="5"/>
        <v>12</v>
      </c>
      <c r="V16" s="13">
        <v>27</v>
      </c>
      <c r="W16" s="14">
        <v>2.6655092592592591E-2</v>
      </c>
      <c r="X16" s="1">
        <f t="shared" si="6"/>
        <v>4</v>
      </c>
      <c r="Y16" s="6" cm="1">
        <f t="array" ref="Y16">IF(COUNT(V$5:V$48)=0,"",
   IFERROR(CHOOSE($B16,HDCP_V_A1,HDCP_V_A2,HDCP_V_A3,HDCP_V_A4),0))</f>
        <v>6</v>
      </c>
      <c r="Z16" s="6">
        <f t="shared" si="7"/>
        <v>10</v>
      </c>
      <c r="AB16" s="13">
        <v>24</v>
      </c>
      <c r="AC16" s="23">
        <v>4.9212962962962965E-2</v>
      </c>
      <c r="AD16" s="1">
        <f t="shared" si="8"/>
        <v>7</v>
      </c>
      <c r="AE16" s="6" cm="1">
        <f t="array" ref="AE16">IF(COUNT(AB$5:AB$48)=0,"",
   IFERROR(CHOOSE($B16,HDCP_V_A1,HDCP_V_A2,HDCP_V_A3,HDCP_V_A4),0))</f>
        <v>6</v>
      </c>
      <c r="AF16" s="6">
        <f t="shared" si="9"/>
        <v>13</v>
      </c>
      <c r="AH16" s="13"/>
      <c r="AI16" s="14"/>
      <c r="AJ16" s="1" t="str">
        <f t="shared" si="10"/>
        <v/>
      </c>
      <c r="AK16" s="6" t="str" cm="1">
        <f t="array" ref="AK16">IF(COUNT(AH$5:AH$48)=0,"",
   IFERROR(CHOOSE($B16,HDCP_V_A1,HDCP_V_A2,HDCP_V_A3,HDCP_V_A4),0))</f>
        <v/>
      </c>
      <c r="AL16" s="6" t="str">
        <f t="shared" si="11"/>
        <v/>
      </c>
      <c r="AN16" s="13"/>
      <c r="AO16" s="14"/>
      <c r="AP16" s="1" t="str">
        <f t="shared" si="12"/>
        <v/>
      </c>
      <c r="AQ16" s="6" t="str" cm="1">
        <f t="array" ref="AQ16">IF(COUNT(AN$5:AN$48)=0,"",
   IFERROR(CHOOSE($B16,HDCP_V_A1,HDCP_V_A2,HDCP_V_A3,HDCP_V_A4),0))</f>
        <v/>
      </c>
      <c r="AR16" s="6" t="str">
        <f t="shared" si="13"/>
        <v/>
      </c>
      <c r="AT16" s="1">
        <f t="shared" si="14"/>
        <v>32</v>
      </c>
      <c r="AU16" s="3">
        <f t="shared" si="15"/>
        <v>62</v>
      </c>
    </row>
    <row r="17" spans="1:47" x14ac:dyDescent="0.2">
      <c r="A17" s="12" t="s">
        <v>13</v>
      </c>
      <c r="B17" s="13">
        <v>2</v>
      </c>
      <c r="D17" s="13">
        <v>15</v>
      </c>
      <c r="E17" s="15">
        <v>2.4884259259259259E-2</v>
      </c>
      <c r="F17" s="1">
        <f t="shared" si="0"/>
        <v>16</v>
      </c>
      <c r="G17" s="6" cm="1">
        <f t="array" ref="G17">IF(COUNT(D$5:D$48)=0,"",
   IFERROR(CHOOSE($B17,HDCP_V_A1,HDCP_V_A2,HDCP_V_A3,HDCP_V_A4),0))</f>
        <v>6</v>
      </c>
      <c r="H17" s="6">
        <f t="shared" si="1"/>
        <v>22</v>
      </c>
      <c r="J17" s="13">
        <v>16</v>
      </c>
      <c r="K17" s="15">
        <v>2.0844907407407406E-2</v>
      </c>
      <c r="L17" s="1">
        <f t="shared" si="2"/>
        <v>15</v>
      </c>
      <c r="M17" s="6" cm="1">
        <f t="array" ref="M17">IF(COUNT(J$5:J$48)=0,"",
   IFERROR(CHOOSE($B17,HDCP_V_A1,HDCP_V_A2,HDCP_V_A3,HDCP_V_A4),0))</f>
        <v>6</v>
      </c>
      <c r="N17" s="6">
        <f t="shared" si="3"/>
        <v>21</v>
      </c>
      <c r="P17" s="13">
        <v>16</v>
      </c>
      <c r="Q17" s="14">
        <v>3.2870370370370369E-2</v>
      </c>
      <c r="R17" s="1">
        <f t="shared" si="4"/>
        <v>15</v>
      </c>
      <c r="S17" s="6" cm="1">
        <f t="array" ref="S17">IF(COUNT(P$5:P$48)=0,"",
   IFERROR(CHOOSE($B17,HDCP_V_A1,HDCP_V_A2,HDCP_V_A3,HDCP_V_A4),0))</f>
        <v>6</v>
      </c>
      <c r="T17" s="6">
        <f t="shared" si="5"/>
        <v>21</v>
      </c>
      <c r="V17" s="13">
        <v>16</v>
      </c>
      <c r="W17" s="14">
        <v>2.2129629629629631E-2</v>
      </c>
      <c r="X17" s="1">
        <f t="shared" si="6"/>
        <v>15</v>
      </c>
      <c r="Y17" s="6" cm="1">
        <f t="array" ref="Y17">IF(COUNT(V$5:V$48)=0,"",
   IFERROR(CHOOSE($B17,HDCP_V_A1,HDCP_V_A2,HDCP_V_A3,HDCP_V_A4),0))</f>
        <v>6</v>
      </c>
      <c r="Z17" s="6">
        <f t="shared" si="7"/>
        <v>21</v>
      </c>
      <c r="AB17" s="13">
        <v>25</v>
      </c>
      <c r="AC17" s="23">
        <v>4.9212962962962965E-2</v>
      </c>
      <c r="AD17" s="1">
        <f t="shared" si="8"/>
        <v>6</v>
      </c>
      <c r="AE17" s="6" cm="1">
        <f t="array" ref="AE17">IF(COUNT(AB$5:AB$48)=0,"",
   IFERROR(CHOOSE($B17,HDCP_V_A1,HDCP_V_A2,HDCP_V_A3,HDCP_V_A4),0))</f>
        <v>6</v>
      </c>
      <c r="AF17" s="6">
        <f t="shared" si="9"/>
        <v>12</v>
      </c>
      <c r="AH17" s="13"/>
      <c r="AI17" s="14"/>
      <c r="AJ17" s="1" t="str">
        <f t="shared" si="10"/>
        <v/>
      </c>
      <c r="AK17" s="6" t="str" cm="1">
        <f t="array" ref="AK17">IF(COUNT(AH$5:AH$48)=0,"",
   IFERROR(CHOOSE($B17,HDCP_V_A1,HDCP_V_A2,HDCP_V_A3,HDCP_V_A4),0))</f>
        <v/>
      </c>
      <c r="AL17" s="6" t="str">
        <f t="shared" si="11"/>
        <v/>
      </c>
      <c r="AN17" s="13"/>
      <c r="AO17" s="14"/>
      <c r="AP17" s="1" t="str">
        <f t="shared" si="12"/>
        <v/>
      </c>
      <c r="AQ17" s="6" t="str" cm="1">
        <f t="array" ref="AQ17">IF(COUNT(AN$5:AN$48)=0,"",
   IFERROR(CHOOSE($B17,HDCP_V_A1,HDCP_V_A2,HDCP_V_A3,HDCP_V_A4),0))</f>
        <v/>
      </c>
      <c r="AR17" s="6" t="str">
        <f t="shared" si="13"/>
        <v/>
      </c>
      <c r="AT17" s="1">
        <f t="shared" si="14"/>
        <v>67</v>
      </c>
      <c r="AU17" s="3">
        <f t="shared" si="15"/>
        <v>97</v>
      </c>
    </row>
    <row r="18" spans="1:47" x14ac:dyDescent="0.2">
      <c r="A18" s="12" t="s">
        <v>49</v>
      </c>
      <c r="B18" s="13">
        <v>2</v>
      </c>
      <c r="D18" s="13">
        <v>3</v>
      </c>
      <c r="E18" s="15">
        <v>2.3726851851851853E-2</v>
      </c>
      <c r="F18" s="1">
        <f t="shared" si="0"/>
        <v>28</v>
      </c>
      <c r="G18" s="6" cm="1">
        <f t="array" ref="G18">IF(COUNT(D$5:D$48)=0,"",
   IFERROR(CHOOSE($B18,HDCP_V_A1,HDCP_V_A2,HDCP_V_A3,HDCP_V_A4),0))</f>
        <v>6</v>
      </c>
      <c r="H18" s="6">
        <f t="shared" si="1"/>
        <v>30</v>
      </c>
      <c r="J18" s="13">
        <v>5</v>
      </c>
      <c r="K18" s="15">
        <v>2.0081018518518519E-2</v>
      </c>
      <c r="L18" s="1">
        <f t="shared" si="2"/>
        <v>26</v>
      </c>
      <c r="M18" s="6" cm="1">
        <f t="array" ref="M18">IF(COUNT(J$5:J$48)=0,"",
   IFERROR(CHOOSE($B18,HDCP_V_A1,HDCP_V_A2,HDCP_V_A3,HDCP_V_A4),0))</f>
        <v>6</v>
      </c>
      <c r="N18" s="6">
        <f t="shared" si="3"/>
        <v>30</v>
      </c>
      <c r="P18" s="13">
        <v>6</v>
      </c>
      <c r="Q18" s="14">
        <v>3.1122685185185184E-2</v>
      </c>
      <c r="R18" s="1">
        <f t="shared" si="4"/>
        <v>25</v>
      </c>
      <c r="S18" s="6" cm="1">
        <f t="array" ref="S18">IF(COUNT(P$5:P$48)=0,"",
   IFERROR(CHOOSE($B18,HDCP_V_A1,HDCP_V_A2,HDCP_V_A3,HDCP_V_A4),0))</f>
        <v>6</v>
      </c>
      <c r="T18" s="6">
        <f t="shared" si="5"/>
        <v>30</v>
      </c>
      <c r="V18" s="13">
        <v>2</v>
      </c>
      <c r="W18" s="14">
        <v>2.0798611111111111E-2</v>
      </c>
      <c r="X18" s="1">
        <f t="shared" si="6"/>
        <v>29</v>
      </c>
      <c r="Y18" s="6" cm="1">
        <f t="array" ref="Y18">IF(COUNT(V$5:V$48)=0,"",
   IFERROR(CHOOSE($B18,HDCP_V_A1,HDCP_V_A2,HDCP_V_A3,HDCP_V_A4),0))</f>
        <v>6</v>
      </c>
      <c r="Z18" s="6">
        <f t="shared" si="7"/>
        <v>30</v>
      </c>
      <c r="AB18" s="13">
        <v>3</v>
      </c>
      <c r="AC18" s="14">
        <v>4.1921296296296297E-2</v>
      </c>
      <c r="AD18" s="1">
        <f t="shared" si="8"/>
        <v>28</v>
      </c>
      <c r="AE18" s="6" cm="1">
        <f t="array" ref="AE18">IF(COUNT(AB$5:AB$48)=0,"",
   IFERROR(CHOOSE($B18,HDCP_V_A1,HDCP_V_A2,HDCP_V_A3,HDCP_V_A4),0))</f>
        <v>6</v>
      </c>
      <c r="AF18" s="6">
        <f t="shared" si="9"/>
        <v>30</v>
      </c>
      <c r="AH18" s="13"/>
      <c r="AI18" s="14"/>
      <c r="AJ18" s="1" t="str">
        <f t="shared" si="10"/>
        <v/>
      </c>
      <c r="AK18" s="6" t="str" cm="1">
        <f t="array" ref="AK18">IF(COUNT(AH$5:AH$48)=0,"",
   IFERROR(CHOOSE($B18,HDCP_V_A1,HDCP_V_A2,HDCP_V_A3,HDCP_V_A4),0))</f>
        <v/>
      </c>
      <c r="AL18" s="6" t="str">
        <f t="shared" si="11"/>
        <v/>
      </c>
      <c r="AN18" s="13"/>
      <c r="AO18" s="14"/>
      <c r="AP18" s="1" t="str">
        <f t="shared" si="12"/>
        <v/>
      </c>
      <c r="AQ18" s="6" t="str" cm="1">
        <f t="array" ref="AQ18">IF(COUNT(AN$5:AN$48)=0,"",
   IFERROR(CHOOSE($B18,HDCP_V_A1,HDCP_V_A2,HDCP_V_A3,HDCP_V_A4),0))</f>
        <v/>
      </c>
      <c r="AR18" s="6" t="str">
        <f t="shared" si="13"/>
        <v/>
      </c>
      <c r="AT18" s="1">
        <f t="shared" si="14"/>
        <v>136</v>
      </c>
      <c r="AU18" s="3">
        <f t="shared" si="15"/>
        <v>150</v>
      </c>
    </row>
    <row r="19" spans="1:47" x14ac:dyDescent="0.2">
      <c r="A19" s="12" t="s">
        <v>6</v>
      </c>
      <c r="B19" s="13">
        <v>2</v>
      </c>
      <c r="D19" s="13">
        <v>7</v>
      </c>
      <c r="E19" s="15">
        <v>2.3865740740740739E-2</v>
      </c>
      <c r="F19" s="1">
        <f t="shared" si="0"/>
        <v>24</v>
      </c>
      <c r="G19" s="6" cm="1">
        <f t="array" ref="G19">IF(COUNT(D$5:D$48)=0,"",
   IFERROR(CHOOSE($B19,HDCP_V_A1,HDCP_V_A2,HDCP_V_A3,HDCP_V_A4),0))</f>
        <v>6</v>
      </c>
      <c r="H19" s="6">
        <f t="shared" si="1"/>
        <v>30</v>
      </c>
      <c r="J19" s="13">
        <v>8</v>
      </c>
      <c r="K19" s="15">
        <v>2.0277777777777777E-2</v>
      </c>
      <c r="L19" s="1">
        <f t="shared" si="2"/>
        <v>23</v>
      </c>
      <c r="M19" s="6" cm="1">
        <f t="array" ref="M19">IF(COUNT(J$5:J$48)=0,"",
   IFERROR(CHOOSE($B19,HDCP_V_A1,HDCP_V_A2,HDCP_V_A3,HDCP_V_A4),0))</f>
        <v>6</v>
      </c>
      <c r="N19" s="6">
        <f t="shared" si="3"/>
        <v>29</v>
      </c>
      <c r="P19" s="13">
        <v>8</v>
      </c>
      <c r="Q19" s="14">
        <v>3.1238425925925926E-2</v>
      </c>
      <c r="R19" s="1">
        <f t="shared" si="4"/>
        <v>23</v>
      </c>
      <c r="S19" s="6" cm="1">
        <f t="array" ref="S19">IF(COUNT(P$5:P$48)=0,"",
   IFERROR(CHOOSE($B19,HDCP_V_A1,HDCP_V_A2,HDCP_V_A3,HDCP_V_A4),0))</f>
        <v>6</v>
      </c>
      <c r="T19" s="6">
        <f t="shared" si="5"/>
        <v>29</v>
      </c>
      <c r="V19" s="13">
        <v>12</v>
      </c>
      <c r="W19" s="14">
        <v>2.1759259259259259E-2</v>
      </c>
      <c r="X19" s="1">
        <f t="shared" si="6"/>
        <v>19</v>
      </c>
      <c r="Y19" s="6" cm="1">
        <f t="array" ref="Y19">IF(COUNT(V$5:V$48)=0,"",
   IFERROR(CHOOSE($B19,HDCP_V_A1,HDCP_V_A2,HDCP_V_A3,HDCP_V_A4),0))</f>
        <v>6</v>
      </c>
      <c r="Z19" s="6">
        <f t="shared" si="7"/>
        <v>25</v>
      </c>
      <c r="AB19" s="13">
        <v>12</v>
      </c>
      <c r="AC19" s="14">
        <v>4.4837962962962961E-2</v>
      </c>
      <c r="AD19" s="1">
        <f t="shared" si="8"/>
        <v>19</v>
      </c>
      <c r="AE19" s="6" cm="1">
        <f t="array" ref="AE19">IF(COUNT(AB$5:AB$48)=0,"",
   IFERROR(CHOOSE($B19,HDCP_V_A1,HDCP_V_A2,HDCP_V_A3,HDCP_V_A4),0))</f>
        <v>6</v>
      </c>
      <c r="AF19" s="6">
        <f t="shared" si="9"/>
        <v>25</v>
      </c>
      <c r="AH19" s="13"/>
      <c r="AI19" s="14"/>
      <c r="AJ19" s="1" t="str">
        <f t="shared" si="10"/>
        <v/>
      </c>
      <c r="AK19" s="6" t="str" cm="1">
        <f t="array" ref="AK19">IF(COUNT(AH$5:AH$48)=0,"",
   IFERROR(CHOOSE($B19,HDCP_V_A1,HDCP_V_A2,HDCP_V_A3,HDCP_V_A4),0))</f>
        <v/>
      </c>
      <c r="AL19" s="6" t="str">
        <f t="shared" si="11"/>
        <v/>
      </c>
      <c r="AN19" s="13"/>
      <c r="AO19" s="14"/>
      <c r="AP19" s="1" t="str">
        <f t="shared" si="12"/>
        <v/>
      </c>
      <c r="AQ19" s="6" t="str" cm="1">
        <f t="array" ref="AQ19">IF(COUNT(AN$5:AN$48)=0,"",
   IFERROR(CHOOSE($B19,HDCP_V_A1,HDCP_V_A2,HDCP_V_A3,HDCP_V_A4),0))</f>
        <v/>
      </c>
      <c r="AR19" s="6" t="str">
        <f t="shared" si="13"/>
        <v/>
      </c>
      <c r="AT19" s="1">
        <f t="shared" si="14"/>
        <v>108</v>
      </c>
      <c r="AU19" s="3">
        <f t="shared" si="15"/>
        <v>138</v>
      </c>
    </row>
    <row r="20" spans="1:47" x14ac:dyDescent="0.2">
      <c r="A20" s="12" t="s">
        <v>50</v>
      </c>
      <c r="B20" s="13">
        <v>3</v>
      </c>
      <c r="D20" s="13">
        <v>18</v>
      </c>
      <c r="E20" s="15">
        <v>2.5000000000000001E-2</v>
      </c>
      <c r="F20" s="1">
        <f t="shared" si="0"/>
        <v>13</v>
      </c>
      <c r="G20" s="6" cm="1">
        <f t="array" ref="G20">IF(COUNT(D$5:D$48)=0,"",
   IFERROR(CHOOSE($B20,HDCP_V_A1,HDCP_V_A2,HDCP_V_A3,HDCP_V_A4),0))</f>
        <v>12</v>
      </c>
      <c r="H20" s="6">
        <f t="shared" si="1"/>
        <v>25</v>
      </c>
      <c r="J20" s="13">
        <v>17</v>
      </c>
      <c r="K20" s="14">
        <v>2.087962962962963E-2</v>
      </c>
      <c r="L20" s="1">
        <f t="shared" si="2"/>
        <v>14</v>
      </c>
      <c r="M20" s="6" cm="1">
        <f t="array" ref="M20">IF(COUNT(J$5:J$48)=0,"",
   IFERROR(CHOOSE($B20,HDCP_V_A1,HDCP_V_A2,HDCP_V_A3,HDCP_V_A4),0))</f>
        <v>12</v>
      </c>
      <c r="N20" s="6">
        <f t="shared" si="3"/>
        <v>26</v>
      </c>
      <c r="P20" s="13">
        <v>18</v>
      </c>
      <c r="Q20" s="14">
        <v>3.2916666666666664E-2</v>
      </c>
      <c r="R20" s="1">
        <f t="shared" si="4"/>
        <v>13</v>
      </c>
      <c r="S20" s="6" cm="1">
        <f t="array" ref="S20">IF(COUNT(P$5:P$48)=0,"",
   IFERROR(CHOOSE($B20,HDCP_V_A1,HDCP_V_A2,HDCP_V_A3,HDCP_V_A4),0))</f>
        <v>12</v>
      </c>
      <c r="T20" s="6">
        <f t="shared" si="5"/>
        <v>25</v>
      </c>
      <c r="V20" s="13">
        <v>14</v>
      </c>
      <c r="W20" s="14">
        <v>2.1898148148148149E-2</v>
      </c>
      <c r="X20" s="1">
        <f t="shared" si="6"/>
        <v>17</v>
      </c>
      <c r="Y20" s="6" cm="1">
        <f t="array" ref="Y20">IF(COUNT(V$5:V$48)=0,"",
   IFERROR(CHOOSE($B20,HDCP_V_A1,HDCP_V_A2,HDCP_V_A3,HDCP_V_A4),0))</f>
        <v>12</v>
      </c>
      <c r="Z20" s="6">
        <f t="shared" si="7"/>
        <v>29</v>
      </c>
      <c r="AB20" s="13">
        <v>14</v>
      </c>
      <c r="AC20" s="14">
        <v>4.5231481481481484E-2</v>
      </c>
      <c r="AD20" s="1">
        <f t="shared" si="8"/>
        <v>17</v>
      </c>
      <c r="AE20" s="6" cm="1">
        <f t="array" ref="AE20">IF(COUNT(AB$5:AB$48)=0,"",
   IFERROR(CHOOSE($B20,HDCP_V_A1,HDCP_V_A2,HDCP_V_A3,HDCP_V_A4),0))</f>
        <v>12</v>
      </c>
      <c r="AF20" s="6">
        <f t="shared" si="9"/>
        <v>29</v>
      </c>
      <c r="AH20" s="13"/>
      <c r="AI20" s="14"/>
      <c r="AJ20" s="1" t="str">
        <f t="shared" si="10"/>
        <v/>
      </c>
      <c r="AK20" s="6" t="str" cm="1">
        <f t="array" ref="AK20">IF(COUNT(AH$5:AH$48)=0,"",
   IFERROR(CHOOSE($B20,HDCP_V_A1,HDCP_V_A2,HDCP_V_A3,HDCP_V_A4),0))</f>
        <v/>
      </c>
      <c r="AL20" s="6" t="str">
        <f t="shared" si="11"/>
        <v/>
      </c>
      <c r="AN20" s="13"/>
      <c r="AO20" s="14"/>
      <c r="AP20" s="1" t="str">
        <f t="shared" si="12"/>
        <v/>
      </c>
      <c r="AQ20" s="6" t="str" cm="1">
        <f t="array" ref="AQ20">IF(COUNT(AN$5:AN$48)=0,"",
   IFERROR(CHOOSE($B20,HDCP_V_A1,HDCP_V_A2,HDCP_V_A3,HDCP_V_A4),0))</f>
        <v/>
      </c>
      <c r="AR20" s="6" t="str">
        <f t="shared" si="13"/>
        <v/>
      </c>
      <c r="AT20" s="1">
        <f t="shared" si="14"/>
        <v>74</v>
      </c>
      <c r="AU20" s="3">
        <f t="shared" si="15"/>
        <v>134</v>
      </c>
    </row>
    <row r="21" spans="1:47" x14ac:dyDescent="0.2">
      <c r="A21" s="12" t="s">
        <v>17</v>
      </c>
      <c r="B21" s="13">
        <v>3</v>
      </c>
      <c r="D21" s="13">
        <v>25</v>
      </c>
      <c r="E21" s="15">
        <v>2.5960648148148149E-2</v>
      </c>
      <c r="F21" s="1">
        <f t="shared" si="0"/>
        <v>6</v>
      </c>
      <c r="G21" s="6" cm="1">
        <f t="array" ref="G21">IF(COUNT(D$5:D$48)=0,"",
   IFERROR(CHOOSE($B21,HDCP_V_A1,HDCP_V_A2,HDCP_V_A3,HDCP_V_A4),0))</f>
        <v>12</v>
      </c>
      <c r="H21" s="6">
        <f t="shared" si="1"/>
        <v>18</v>
      </c>
      <c r="J21" s="13">
        <v>23</v>
      </c>
      <c r="K21" s="14">
        <v>2.2013888888888888E-2</v>
      </c>
      <c r="L21" s="1">
        <f t="shared" si="2"/>
        <v>8</v>
      </c>
      <c r="M21" s="6" cm="1">
        <f t="array" ref="M21">IF(COUNT(J$5:J$48)=0,"",
   IFERROR(CHOOSE($B21,HDCP_V_A1,HDCP_V_A2,HDCP_V_A3,HDCP_V_A4),0))</f>
        <v>12</v>
      </c>
      <c r="N21" s="6">
        <f t="shared" si="3"/>
        <v>20</v>
      </c>
      <c r="P21" s="13">
        <v>27</v>
      </c>
      <c r="Q21" s="14">
        <v>3.8819444444444441E-2</v>
      </c>
      <c r="R21" s="1">
        <f t="shared" si="4"/>
        <v>4</v>
      </c>
      <c r="S21" s="6" cm="1">
        <f t="array" ref="S21">IF(COUNT(P$5:P$48)=0,"",
   IFERROR(CHOOSE($B21,HDCP_V_A1,HDCP_V_A2,HDCP_V_A3,HDCP_V_A4),0))</f>
        <v>12</v>
      </c>
      <c r="T21" s="6">
        <f t="shared" si="5"/>
        <v>16</v>
      </c>
      <c r="V21" s="13">
        <v>25</v>
      </c>
      <c r="W21" s="14">
        <v>2.6655092592592591E-2</v>
      </c>
      <c r="X21" s="1">
        <f t="shared" si="6"/>
        <v>6</v>
      </c>
      <c r="Y21" s="6" cm="1">
        <f t="array" ref="Y21">IF(COUNT(V$5:V$48)=0,"",
   IFERROR(CHOOSE($B21,HDCP_V_A1,HDCP_V_A2,HDCP_V_A3,HDCP_V_A4),0))</f>
        <v>12</v>
      </c>
      <c r="Z21" s="6">
        <f t="shared" si="7"/>
        <v>18</v>
      </c>
      <c r="AB21" s="13">
        <v>27</v>
      </c>
      <c r="AC21" s="23">
        <v>4.9212962962962965E-2</v>
      </c>
      <c r="AD21" s="1">
        <f t="shared" si="8"/>
        <v>4</v>
      </c>
      <c r="AE21" s="6" cm="1">
        <f t="array" ref="AE21">IF(COUNT(AB$5:AB$48)=0,"",
   IFERROR(CHOOSE($B21,HDCP_V_A1,HDCP_V_A2,HDCP_V_A3,HDCP_V_A4),0))</f>
        <v>12</v>
      </c>
      <c r="AF21" s="6">
        <f t="shared" si="9"/>
        <v>16</v>
      </c>
      <c r="AH21" s="13"/>
      <c r="AI21" s="14"/>
      <c r="AJ21" s="1" t="str">
        <f t="shared" si="10"/>
        <v/>
      </c>
      <c r="AK21" s="6" t="str" cm="1">
        <f t="array" ref="AK21">IF(COUNT(AH$5:AH$48)=0,"",
   IFERROR(CHOOSE($B21,HDCP_V_A1,HDCP_V_A2,HDCP_V_A3,HDCP_V_A4),0))</f>
        <v/>
      </c>
      <c r="AL21" s="6" t="str">
        <f t="shared" si="11"/>
        <v/>
      </c>
      <c r="AN21" s="13"/>
      <c r="AO21" s="14"/>
      <c r="AP21" s="1" t="str">
        <f t="shared" si="12"/>
        <v/>
      </c>
      <c r="AQ21" s="6" t="str" cm="1">
        <f t="array" ref="AQ21">IF(COUNT(AN$5:AN$48)=0,"",
   IFERROR(CHOOSE($B21,HDCP_V_A1,HDCP_V_A2,HDCP_V_A3,HDCP_V_A4),0))</f>
        <v/>
      </c>
      <c r="AR21" s="6" t="str">
        <f t="shared" si="13"/>
        <v/>
      </c>
      <c r="AT21" s="1">
        <f t="shared" si="14"/>
        <v>28</v>
      </c>
      <c r="AU21" s="3">
        <f t="shared" si="15"/>
        <v>88</v>
      </c>
    </row>
    <row r="22" spans="1:47" x14ac:dyDescent="0.2">
      <c r="A22" s="12" t="s">
        <v>51</v>
      </c>
      <c r="B22" s="13">
        <v>3</v>
      </c>
      <c r="D22" s="13">
        <v>23</v>
      </c>
      <c r="E22" s="15">
        <v>2.5567129629629631E-2</v>
      </c>
      <c r="F22" s="1">
        <f t="shared" si="0"/>
        <v>8</v>
      </c>
      <c r="G22" s="6" cm="1">
        <f t="array" ref="G22">IF(COUNT(D$5:D$48)=0,"",
   IFERROR(CHOOSE($B22,HDCP_V_A1,HDCP_V_A2,HDCP_V_A3,HDCP_V_A4),0))</f>
        <v>12</v>
      </c>
      <c r="H22" s="6">
        <f t="shared" si="1"/>
        <v>20</v>
      </c>
      <c r="J22" s="13">
        <v>20</v>
      </c>
      <c r="K22" s="14">
        <v>2.1643518518518517E-2</v>
      </c>
      <c r="L22" s="1">
        <f t="shared" si="2"/>
        <v>11</v>
      </c>
      <c r="M22" s="6" cm="1">
        <f t="array" ref="M22">IF(COUNT(J$5:J$48)=0,"",
   IFERROR(CHOOSE($B22,HDCP_V_A1,HDCP_V_A2,HDCP_V_A3,HDCP_V_A4),0))</f>
        <v>12</v>
      </c>
      <c r="N22" s="6">
        <f t="shared" si="3"/>
        <v>23</v>
      </c>
      <c r="P22" s="13">
        <v>15</v>
      </c>
      <c r="Q22" s="14">
        <v>3.2847222222222222E-2</v>
      </c>
      <c r="R22" s="1">
        <f t="shared" si="4"/>
        <v>16</v>
      </c>
      <c r="S22" s="6" cm="1">
        <f t="array" ref="S22">IF(COUNT(P$5:P$48)=0,"",
   IFERROR(CHOOSE($B22,HDCP_V_A1,HDCP_V_A2,HDCP_V_A3,HDCP_V_A4),0))</f>
        <v>12</v>
      </c>
      <c r="T22" s="6">
        <f t="shared" si="5"/>
        <v>28</v>
      </c>
      <c r="V22" s="13">
        <v>22</v>
      </c>
      <c r="W22" s="14">
        <v>2.2824074074074073E-2</v>
      </c>
      <c r="X22" s="1">
        <f t="shared" si="6"/>
        <v>9</v>
      </c>
      <c r="Y22" s="6" cm="1">
        <f t="array" ref="Y22">IF(COUNT(V$5:V$48)=0,"",
   IFERROR(CHOOSE($B22,HDCP_V_A1,HDCP_V_A2,HDCP_V_A3,HDCP_V_A4),0))</f>
        <v>12</v>
      </c>
      <c r="Z22" s="6">
        <f t="shared" si="7"/>
        <v>21</v>
      </c>
      <c r="AB22" s="13">
        <v>17</v>
      </c>
      <c r="AC22" s="14">
        <v>4.5717592592592594E-2</v>
      </c>
      <c r="AD22" s="1">
        <f t="shared" si="8"/>
        <v>14</v>
      </c>
      <c r="AE22" s="6" cm="1">
        <f t="array" ref="AE22">IF(COUNT(AB$5:AB$48)=0,"",
   IFERROR(CHOOSE($B22,HDCP_V_A1,HDCP_V_A2,HDCP_V_A3,HDCP_V_A4),0))</f>
        <v>12</v>
      </c>
      <c r="AF22" s="6">
        <f t="shared" si="9"/>
        <v>26</v>
      </c>
      <c r="AH22" s="13"/>
      <c r="AI22" s="14"/>
      <c r="AJ22" s="1" t="str">
        <f t="shared" si="10"/>
        <v/>
      </c>
      <c r="AK22" s="6" t="str" cm="1">
        <f t="array" ref="AK22">IF(COUNT(AH$5:AH$48)=0,"",
   IFERROR(CHOOSE($B22,HDCP_V_A1,HDCP_V_A2,HDCP_V_A3,HDCP_V_A4),0))</f>
        <v/>
      </c>
      <c r="AL22" s="6" t="str">
        <f t="shared" si="11"/>
        <v/>
      </c>
      <c r="AN22" s="13"/>
      <c r="AO22" s="13"/>
      <c r="AP22" s="1" t="str">
        <f t="shared" si="12"/>
        <v/>
      </c>
      <c r="AQ22" s="6" t="str" cm="1">
        <f t="array" ref="AQ22">IF(COUNT(AN$5:AN$48)=0,"",
   IFERROR(CHOOSE($B22,HDCP_V_A1,HDCP_V_A2,HDCP_V_A3,HDCP_V_A4),0))</f>
        <v/>
      </c>
      <c r="AR22" s="6" t="str">
        <f t="shared" si="13"/>
        <v/>
      </c>
      <c r="AT22" s="1">
        <f t="shared" si="14"/>
        <v>58</v>
      </c>
      <c r="AU22" s="3">
        <f t="shared" si="15"/>
        <v>118</v>
      </c>
    </row>
    <row r="23" spans="1:47" x14ac:dyDescent="0.2">
      <c r="A23" s="12" t="s">
        <v>52</v>
      </c>
      <c r="B23" s="13">
        <v>3</v>
      </c>
      <c r="D23" s="13">
        <v>24</v>
      </c>
      <c r="E23" s="15">
        <v>2.5914351851851852E-2</v>
      </c>
      <c r="F23" s="1">
        <f t="shared" si="0"/>
        <v>7</v>
      </c>
      <c r="G23" s="6" cm="1">
        <f t="array" ref="G23">IF(COUNT(D$5:D$48)=0,"",
   IFERROR(CHOOSE($B23,HDCP_V_A1,HDCP_V_A2,HDCP_V_A3,HDCP_V_A4),0))</f>
        <v>12</v>
      </c>
      <c r="H23" s="6">
        <f t="shared" si="1"/>
        <v>19</v>
      </c>
      <c r="J23" s="13">
        <v>22</v>
      </c>
      <c r="K23" s="14">
        <v>2.1736111111111112E-2</v>
      </c>
      <c r="L23" s="1">
        <f t="shared" si="2"/>
        <v>9</v>
      </c>
      <c r="M23" s="6" cm="1">
        <f t="array" ref="M23">IF(COUNT(J$5:J$48)=0,"",
   IFERROR(CHOOSE($B23,HDCP_V_A1,HDCP_V_A2,HDCP_V_A3,HDCP_V_A4),0))</f>
        <v>12</v>
      </c>
      <c r="N23" s="6">
        <f t="shared" si="3"/>
        <v>21</v>
      </c>
      <c r="P23" s="13">
        <v>23</v>
      </c>
      <c r="Q23" s="14">
        <v>3.5879629629629629E-2</v>
      </c>
      <c r="R23" s="1">
        <f t="shared" si="4"/>
        <v>8</v>
      </c>
      <c r="S23" s="6" cm="1">
        <f t="array" ref="S23">IF(COUNT(P$5:P$48)=0,"",
   IFERROR(CHOOSE($B23,HDCP_V_A1,HDCP_V_A2,HDCP_V_A3,HDCP_V_A4),0))</f>
        <v>12</v>
      </c>
      <c r="T23" s="6">
        <f t="shared" si="5"/>
        <v>20</v>
      </c>
      <c r="V23" s="13">
        <v>20</v>
      </c>
      <c r="W23" s="14">
        <v>2.252314814814815E-2</v>
      </c>
      <c r="X23" s="1">
        <f t="shared" si="6"/>
        <v>11</v>
      </c>
      <c r="Y23" s="6" cm="1">
        <f t="array" ref="Y23">IF(COUNT(V$5:V$48)=0,"",
   IFERROR(CHOOSE($B23,HDCP_V_A1,HDCP_V_A2,HDCP_V_A3,HDCP_V_A4),0))</f>
        <v>12</v>
      </c>
      <c r="Z23" s="6">
        <f t="shared" si="7"/>
        <v>23</v>
      </c>
      <c r="AB23" s="13">
        <v>22</v>
      </c>
      <c r="AC23" s="14">
        <v>4.8935185185185186E-2</v>
      </c>
      <c r="AD23" s="1">
        <f t="shared" si="8"/>
        <v>9</v>
      </c>
      <c r="AE23" s="6" cm="1">
        <f t="array" ref="AE23">IF(COUNT(AB$5:AB$48)=0,"",
   IFERROR(CHOOSE($B23,HDCP_V_A1,HDCP_V_A2,HDCP_V_A3,HDCP_V_A4),0))</f>
        <v>12</v>
      </c>
      <c r="AF23" s="6">
        <f t="shared" si="9"/>
        <v>21</v>
      </c>
      <c r="AH23" s="13"/>
      <c r="AI23" s="14"/>
      <c r="AJ23" s="1" t="str">
        <f t="shared" si="10"/>
        <v/>
      </c>
      <c r="AK23" s="6" t="str" cm="1">
        <f t="array" ref="AK23">IF(COUNT(AH$5:AH$48)=0,"",
   IFERROR(CHOOSE($B23,HDCP_V_A1,HDCP_V_A2,HDCP_V_A3,HDCP_V_A4),0))</f>
        <v/>
      </c>
      <c r="AL23" s="6" t="str">
        <f t="shared" si="11"/>
        <v/>
      </c>
      <c r="AN23" s="13"/>
      <c r="AO23" s="14"/>
      <c r="AP23" s="1" t="str">
        <f t="shared" si="12"/>
        <v/>
      </c>
      <c r="AQ23" s="6" t="str" cm="1">
        <f t="array" ref="AQ23">IF(COUNT(AN$5:AN$48)=0,"",
   IFERROR(CHOOSE($B23,HDCP_V_A1,HDCP_V_A2,HDCP_V_A3,HDCP_V_A4),0))</f>
        <v/>
      </c>
      <c r="AR23" s="6" t="str">
        <f t="shared" si="13"/>
        <v/>
      </c>
      <c r="AT23" s="1">
        <f t="shared" si="14"/>
        <v>44</v>
      </c>
      <c r="AU23" s="3">
        <f t="shared" si="15"/>
        <v>104</v>
      </c>
    </row>
    <row r="24" spans="1:47" x14ac:dyDescent="0.2">
      <c r="A24" s="12" t="s">
        <v>53</v>
      </c>
      <c r="B24" s="13">
        <v>3</v>
      </c>
      <c r="D24" s="13">
        <v>27</v>
      </c>
      <c r="E24" s="15">
        <v>2.6539351851851852E-2</v>
      </c>
      <c r="F24" s="1">
        <f t="shared" si="0"/>
        <v>4</v>
      </c>
      <c r="G24" s="6" cm="1">
        <f t="array" ref="G24">IF(COUNT(D$5:D$48)=0,"",
   IFERROR(CHOOSE($B24,HDCP_V_A1,HDCP_V_A2,HDCP_V_A3,HDCP_V_A4),0))</f>
        <v>12</v>
      </c>
      <c r="H24" s="6">
        <f t="shared" si="1"/>
        <v>16</v>
      </c>
      <c r="J24" s="13">
        <v>13</v>
      </c>
      <c r="K24" s="15">
        <v>2.042824074074074E-2</v>
      </c>
      <c r="L24" s="1">
        <f t="shared" si="2"/>
        <v>18</v>
      </c>
      <c r="M24" s="6" cm="1">
        <f t="array" ref="M24">IF(COUNT(J$5:J$48)=0,"",
   IFERROR(CHOOSE($B24,HDCP_V_A1,HDCP_V_A2,HDCP_V_A3,HDCP_V_A4),0))</f>
        <v>12</v>
      </c>
      <c r="N24" s="6">
        <f t="shared" si="3"/>
        <v>30</v>
      </c>
      <c r="P24" s="13">
        <v>20</v>
      </c>
      <c r="Q24" s="14">
        <v>3.3125000000000002E-2</v>
      </c>
      <c r="R24" s="1">
        <f t="shared" si="4"/>
        <v>11</v>
      </c>
      <c r="S24" s="6" cm="1">
        <f t="array" ref="S24">IF(COUNT(P$5:P$48)=0,"",
   IFERROR(CHOOSE($B24,HDCP_V_A1,HDCP_V_A2,HDCP_V_A3,HDCP_V_A4),0))</f>
        <v>12</v>
      </c>
      <c r="T24" s="6">
        <f t="shared" si="5"/>
        <v>23</v>
      </c>
      <c r="V24" s="13">
        <v>21</v>
      </c>
      <c r="W24" s="14">
        <v>2.2604166666666668E-2</v>
      </c>
      <c r="X24" s="1">
        <f t="shared" si="6"/>
        <v>10</v>
      </c>
      <c r="Y24" s="6" cm="1">
        <f t="array" ref="Y24">IF(COUNT(V$5:V$48)=0,"",
   IFERROR(CHOOSE($B24,HDCP_V_A1,HDCP_V_A2,HDCP_V_A3,HDCP_V_A4),0))</f>
        <v>12</v>
      </c>
      <c r="Z24" s="6">
        <f t="shared" si="7"/>
        <v>22</v>
      </c>
      <c r="AB24" s="13">
        <v>21</v>
      </c>
      <c r="AC24" s="14">
        <v>4.7129629629629632E-2</v>
      </c>
      <c r="AD24" s="1">
        <f t="shared" si="8"/>
        <v>10</v>
      </c>
      <c r="AE24" s="6" cm="1">
        <f t="array" ref="AE24">IF(COUNT(AB$5:AB$48)=0,"",
   IFERROR(CHOOSE($B24,HDCP_V_A1,HDCP_V_A2,HDCP_V_A3,HDCP_V_A4),0))</f>
        <v>12</v>
      </c>
      <c r="AF24" s="6">
        <f t="shared" si="9"/>
        <v>22</v>
      </c>
      <c r="AH24" s="13"/>
      <c r="AI24" s="14"/>
      <c r="AJ24" s="1" t="str">
        <f t="shared" si="10"/>
        <v/>
      </c>
      <c r="AK24" s="6" t="str" cm="1">
        <f t="array" ref="AK24">IF(COUNT(AH$5:AH$48)=0,"",
   IFERROR(CHOOSE($B24,HDCP_V_A1,HDCP_V_A2,HDCP_V_A3,HDCP_V_A4),0))</f>
        <v/>
      </c>
      <c r="AL24" s="6" t="str">
        <f t="shared" si="11"/>
        <v/>
      </c>
      <c r="AN24" s="13"/>
      <c r="AO24" s="14"/>
      <c r="AP24" s="1" t="str">
        <f t="shared" si="12"/>
        <v/>
      </c>
      <c r="AQ24" s="6" t="str" cm="1">
        <f t="array" ref="AQ24">IF(COUNT(AN$5:AN$48)=0,"",
   IFERROR(CHOOSE($B24,HDCP_V_A1,HDCP_V_A2,HDCP_V_A3,HDCP_V_A4),0))</f>
        <v/>
      </c>
      <c r="AR24" s="6" t="str">
        <f t="shared" si="13"/>
        <v/>
      </c>
      <c r="AT24" s="1">
        <f t="shared" si="14"/>
        <v>53</v>
      </c>
      <c r="AU24" s="3">
        <f t="shared" si="15"/>
        <v>113</v>
      </c>
    </row>
    <row r="25" spans="1:47" x14ac:dyDescent="0.2">
      <c r="A25" s="12" t="s">
        <v>54</v>
      </c>
      <c r="B25" s="13">
        <v>3</v>
      </c>
      <c r="D25" s="13">
        <v>20</v>
      </c>
      <c r="E25" s="15">
        <v>2.5127314814814814E-2</v>
      </c>
      <c r="F25" s="1">
        <f t="shared" si="0"/>
        <v>11</v>
      </c>
      <c r="G25" s="6" cm="1">
        <f t="array" ref="G25">IF(COUNT(D$5:D$48)=0,"",
   IFERROR(CHOOSE($B25,HDCP_V_A1,HDCP_V_A2,HDCP_V_A3,HDCP_V_A4),0))</f>
        <v>12</v>
      </c>
      <c r="H25" s="6">
        <f t="shared" si="1"/>
        <v>23</v>
      </c>
      <c r="J25" s="13">
        <v>18</v>
      </c>
      <c r="K25" s="14">
        <v>2.1296296296296296E-2</v>
      </c>
      <c r="L25" s="1">
        <f t="shared" si="2"/>
        <v>13</v>
      </c>
      <c r="M25" s="6" cm="1">
        <f t="array" ref="M25">IF(COUNT(J$5:J$48)=0,"",
   IFERROR(CHOOSE($B25,HDCP_V_A1,HDCP_V_A2,HDCP_V_A3,HDCP_V_A4),0))</f>
        <v>12</v>
      </c>
      <c r="N25" s="6">
        <f t="shared" si="3"/>
        <v>25</v>
      </c>
      <c r="P25" s="13">
        <v>22</v>
      </c>
      <c r="Q25" s="14">
        <v>3.4375000000000003E-2</v>
      </c>
      <c r="R25" s="1">
        <f t="shared" si="4"/>
        <v>9</v>
      </c>
      <c r="S25" s="6" cm="1">
        <f t="array" ref="S25">IF(COUNT(P$5:P$48)=0,"",
   IFERROR(CHOOSE($B25,HDCP_V_A1,HDCP_V_A2,HDCP_V_A3,HDCP_V_A4),0))</f>
        <v>12</v>
      </c>
      <c r="T25" s="6">
        <f t="shared" si="5"/>
        <v>21</v>
      </c>
      <c r="V25" s="13">
        <v>15</v>
      </c>
      <c r="W25" s="14">
        <v>2.2048611111111113E-2</v>
      </c>
      <c r="X25" s="1">
        <f t="shared" si="6"/>
        <v>16</v>
      </c>
      <c r="Y25" s="6" cm="1">
        <f t="array" ref="Y25">IF(COUNT(V$5:V$48)=0,"",
   IFERROR(CHOOSE($B25,HDCP_V_A1,HDCP_V_A2,HDCP_V_A3,HDCP_V_A4),0))</f>
        <v>12</v>
      </c>
      <c r="Z25" s="6">
        <f t="shared" si="7"/>
        <v>28</v>
      </c>
      <c r="AB25" s="13">
        <v>18</v>
      </c>
      <c r="AC25" s="14">
        <v>4.5740740740740742E-2</v>
      </c>
      <c r="AD25" s="1">
        <f t="shared" si="8"/>
        <v>13</v>
      </c>
      <c r="AE25" s="6" cm="1">
        <f t="array" ref="AE25">IF(COUNT(AB$5:AB$48)=0,"",
   IFERROR(CHOOSE($B25,HDCP_V_A1,HDCP_V_A2,HDCP_V_A3,HDCP_V_A4),0))</f>
        <v>12</v>
      </c>
      <c r="AF25" s="6">
        <f t="shared" si="9"/>
        <v>25</v>
      </c>
      <c r="AH25" s="13"/>
      <c r="AI25" s="14"/>
      <c r="AJ25" s="1" t="str">
        <f t="shared" si="10"/>
        <v/>
      </c>
      <c r="AK25" s="6" t="str" cm="1">
        <f t="array" ref="AK25">IF(COUNT(AH$5:AH$48)=0,"",
   IFERROR(CHOOSE($B25,HDCP_V_A1,HDCP_V_A2,HDCP_V_A3,HDCP_V_A4),0))</f>
        <v/>
      </c>
      <c r="AL25" s="6" t="str">
        <f t="shared" si="11"/>
        <v/>
      </c>
      <c r="AN25" s="13"/>
      <c r="AO25" s="14"/>
      <c r="AP25" s="1" t="str">
        <f t="shared" si="12"/>
        <v/>
      </c>
      <c r="AQ25" s="6" t="str" cm="1">
        <f t="array" ref="AQ25">IF(COUNT(AN$5:AN$48)=0,"",
   IFERROR(CHOOSE($B25,HDCP_V_A1,HDCP_V_A2,HDCP_V_A3,HDCP_V_A4),0))</f>
        <v/>
      </c>
      <c r="AR25" s="6" t="str">
        <f t="shared" si="13"/>
        <v/>
      </c>
      <c r="AT25" s="1">
        <f t="shared" si="14"/>
        <v>62</v>
      </c>
      <c r="AU25" s="3">
        <f t="shared" si="15"/>
        <v>122</v>
      </c>
    </row>
    <row r="26" spans="1:47" x14ac:dyDescent="0.2">
      <c r="A26" s="12" t="s">
        <v>9</v>
      </c>
      <c r="B26" s="13">
        <v>3</v>
      </c>
      <c r="D26" s="13">
        <v>16</v>
      </c>
      <c r="E26" s="15">
        <v>2.4976851851851851E-2</v>
      </c>
      <c r="F26" s="1">
        <f t="shared" si="0"/>
        <v>15</v>
      </c>
      <c r="G26" s="6" cm="1">
        <f t="array" ref="G26">IF(COUNT(D$5:D$48)=0,"",
   IFERROR(CHOOSE($B26,HDCP_V_A1,HDCP_V_A2,HDCP_V_A3,HDCP_V_A4),0))</f>
        <v>12</v>
      </c>
      <c r="H26" s="6">
        <f t="shared" si="1"/>
        <v>27</v>
      </c>
      <c r="J26" s="13">
        <v>19</v>
      </c>
      <c r="K26" s="14">
        <v>2.1296296296296296E-2</v>
      </c>
      <c r="L26" s="1">
        <f t="shared" si="2"/>
        <v>12</v>
      </c>
      <c r="M26" s="6" cm="1">
        <f t="array" ref="M26">IF(COUNT(J$5:J$48)=0,"",
   IFERROR(CHOOSE($B26,HDCP_V_A1,HDCP_V_A2,HDCP_V_A3,HDCP_V_A4),0))</f>
        <v>12</v>
      </c>
      <c r="N26" s="6">
        <f t="shared" si="3"/>
        <v>24</v>
      </c>
      <c r="P26" s="13">
        <v>21</v>
      </c>
      <c r="Q26" s="14">
        <v>3.4097222222222223E-2</v>
      </c>
      <c r="R26" s="1">
        <f t="shared" si="4"/>
        <v>10</v>
      </c>
      <c r="S26" s="6" cm="1">
        <f t="array" ref="S26">IF(COUNT(P$5:P$48)=0,"",
   IFERROR(CHOOSE($B26,HDCP_V_A1,HDCP_V_A2,HDCP_V_A3,HDCP_V_A4),0))</f>
        <v>12</v>
      </c>
      <c r="T26" s="6">
        <f t="shared" si="5"/>
        <v>22</v>
      </c>
      <c r="V26" s="13">
        <v>18</v>
      </c>
      <c r="W26" s="14">
        <v>2.2465277777777778E-2</v>
      </c>
      <c r="X26" s="1">
        <f t="shared" si="6"/>
        <v>13</v>
      </c>
      <c r="Y26" s="6" cm="1">
        <f t="array" ref="Y26">IF(COUNT(V$5:V$48)=0,"",
   IFERROR(CHOOSE($B26,HDCP_V_A1,HDCP_V_A2,HDCP_V_A3,HDCP_V_A4),0))</f>
        <v>12</v>
      </c>
      <c r="Z26" s="6">
        <f t="shared" si="7"/>
        <v>25</v>
      </c>
      <c r="AB26" s="13">
        <v>20</v>
      </c>
      <c r="AC26" s="14">
        <v>4.6331018518518521E-2</v>
      </c>
      <c r="AD26" s="1">
        <f t="shared" si="8"/>
        <v>11</v>
      </c>
      <c r="AE26" s="6" cm="1">
        <f t="array" ref="AE26">IF(COUNT(AB$5:AB$48)=0,"",
   IFERROR(CHOOSE($B26,HDCP_V_A1,HDCP_V_A2,HDCP_V_A3,HDCP_V_A4),0))</f>
        <v>12</v>
      </c>
      <c r="AF26" s="6">
        <f t="shared" si="9"/>
        <v>23</v>
      </c>
      <c r="AH26" s="13"/>
      <c r="AI26" s="14"/>
      <c r="AJ26" s="1" t="str">
        <f t="shared" si="10"/>
        <v/>
      </c>
      <c r="AK26" s="6" t="str" cm="1">
        <f t="array" ref="AK26">IF(COUNT(AH$5:AH$48)=0,"",
   IFERROR(CHOOSE($B26,HDCP_V_A1,HDCP_V_A2,HDCP_V_A3,HDCP_V_A4),0))</f>
        <v/>
      </c>
      <c r="AL26" s="6" t="str">
        <f t="shared" si="11"/>
        <v/>
      </c>
      <c r="AN26" s="13"/>
      <c r="AO26" s="14"/>
      <c r="AP26" s="1" t="str">
        <f t="shared" si="12"/>
        <v/>
      </c>
      <c r="AQ26" s="6" t="str" cm="1">
        <f t="array" ref="AQ26">IF(COUNT(AN$5:AN$48)=0,"",
   IFERROR(CHOOSE($B26,HDCP_V_A1,HDCP_V_A2,HDCP_V_A3,HDCP_V_A4),0))</f>
        <v/>
      </c>
      <c r="AR26" s="6" t="str">
        <f t="shared" si="13"/>
        <v/>
      </c>
      <c r="AT26" s="1">
        <f t="shared" si="14"/>
        <v>61</v>
      </c>
      <c r="AU26" s="3">
        <f t="shared" si="15"/>
        <v>121</v>
      </c>
    </row>
    <row r="27" spans="1:47" x14ac:dyDescent="0.2">
      <c r="A27" s="12" t="s">
        <v>16</v>
      </c>
      <c r="B27" s="13">
        <v>3</v>
      </c>
      <c r="D27" s="13">
        <v>14</v>
      </c>
      <c r="E27" s="15">
        <v>2.476851851851852E-2</v>
      </c>
      <c r="F27" s="1">
        <f t="shared" si="0"/>
        <v>17</v>
      </c>
      <c r="G27" s="6" cm="1">
        <f t="array" ref="G27">IF(COUNT(D$5:D$48)=0,"",
   IFERROR(CHOOSE($B27,HDCP_V_A1,HDCP_V_A2,HDCP_V_A3,HDCP_V_A4),0))</f>
        <v>12</v>
      </c>
      <c r="H27" s="6">
        <f t="shared" si="1"/>
        <v>29</v>
      </c>
      <c r="J27" s="13">
        <v>15</v>
      </c>
      <c r="K27" s="15">
        <v>2.0763888888888887E-2</v>
      </c>
      <c r="L27" s="1">
        <f t="shared" si="2"/>
        <v>16</v>
      </c>
      <c r="M27" s="6" cm="1">
        <f t="array" ref="M27">IF(COUNT(J$5:J$48)=0,"",
   IFERROR(CHOOSE($B27,HDCP_V_A1,HDCP_V_A2,HDCP_V_A3,HDCP_V_A4),0))</f>
        <v>12</v>
      </c>
      <c r="N27" s="6">
        <f t="shared" si="3"/>
        <v>28</v>
      </c>
      <c r="P27" s="13">
        <v>14</v>
      </c>
      <c r="Q27" s="14">
        <v>3.2569444444444443E-2</v>
      </c>
      <c r="R27" s="1">
        <f t="shared" si="4"/>
        <v>17</v>
      </c>
      <c r="S27" s="6" cm="1">
        <f t="array" ref="S27">IF(COUNT(P$5:P$48)=0,"",
   IFERROR(CHOOSE($B27,HDCP_V_A1,HDCP_V_A2,HDCP_V_A3,HDCP_V_A4),0))</f>
        <v>12</v>
      </c>
      <c r="T27" s="6">
        <f t="shared" si="5"/>
        <v>29</v>
      </c>
      <c r="V27" s="13">
        <v>17</v>
      </c>
      <c r="W27" s="14">
        <v>2.2407407407407407E-2</v>
      </c>
      <c r="X27" s="1">
        <f t="shared" si="6"/>
        <v>14</v>
      </c>
      <c r="Y27" s="6" cm="1">
        <f t="array" ref="Y27">IF(COUNT(V$5:V$48)=0,"",
   IFERROR(CHOOSE($B27,HDCP_V_A1,HDCP_V_A2,HDCP_V_A3,HDCP_V_A4),0))</f>
        <v>12</v>
      </c>
      <c r="Z27" s="6">
        <f t="shared" si="7"/>
        <v>26</v>
      </c>
      <c r="AB27" s="13">
        <v>16</v>
      </c>
      <c r="AC27" s="14">
        <v>4.5289351851851851E-2</v>
      </c>
      <c r="AD27" s="1">
        <f t="shared" si="8"/>
        <v>15</v>
      </c>
      <c r="AE27" s="6" cm="1">
        <f t="array" ref="AE27">IF(COUNT(AB$5:AB$48)=0,"",
   IFERROR(CHOOSE($B27,HDCP_V_A1,HDCP_V_A2,HDCP_V_A3,HDCP_V_A4),0))</f>
        <v>12</v>
      </c>
      <c r="AF27" s="6">
        <f t="shared" si="9"/>
        <v>27</v>
      </c>
      <c r="AH27" s="13"/>
      <c r="AI27" s="14"/>
      <c r="AJ27" s="1" t="str">
        <f t="shared" si="10"/>
        <v/>
      </c>
      <c r="AK27" s="6" t="str" cm="1">
        <f t="array" ref="AK27">IF(COUNT(AH$5:AH$48)=0,"",
   IFERROR(CHOOSE($B27,HDCP_V_A1,HDCP_V_A2,HDCP_V_A3,HDCP_V_A4),0))</f>
        <v/>
      </c>
      <c r="AL27" s="6" t="str">
        <f t="shared" si="11"/>
        <v/>
      </c>
      <c r="AN27" s="13"/>
      <c r="AO27" s="14"/>
      <c r="AP27" s="1" t="str">
        <f t="shared" si="12"/>
        <v/>
      </c>
      <c r="AQ27" s="6" t="str" cm="1">
        <f t="array" ref="AQ27">IF(COUNT(AN$5:AN$48)=0,"",
   IFERROR(CHOOSE($B27,HDCP_V_A1,HDCP_V_A2,HDCP_V_A3,HDCP_V_A4),0))</f>
        <v/>
      </c>
      <c r="AR27" s="6" t="str">
        <f t="shared" si="13"/>
        <v/>
      </c>
      <c r="AT27" s="1">
        <f t="shared" si="14"/>
        <v>79</v>
      </c>
      <c r="AU27" s="3">
        <f t="shared" si="15"/>
        <v>139</v>
      </c>
    </row>
    <row r="28" spans="1:47" x14ac:dyDescent="0.2">
      <c r="A28" s="12" t="s">
        <v>8</v>
      </c>
      <c r="B28" s="13">
        <v>3</v>
      </c>
      <c r="D28" s="13">
        <v>17</v>
      </c>
      <c r="E28" s="15">
        <v>2.4988425925925924E-2</v>
      </c>
      <c r="F28" s="1">
        <f t="shared" si="0"/>
        <v>14</v>
      </c>
      <c r="G28" s="6" cm="1">
        <f t="array" ref="G28">IF(COUNT(D$5:D$48)=0,"",
   IFERROR(CHOOSE($B28,HDCP_V_A1,HDCP_V_A2,HDCP_V_A3,HDCP_V_A4),0))</f>
        <v>12</v>
      </c>
      <c r="H28" s="6">
        <f t="shared" si="1"/>
        <v>26</v>
      </c>
      <c r="J28" s="13">
        <v>14</v>
      </c>
      <c r="K28" s="15">
        <v>2.0625000000000001E-2</v>
      </c>
      <c r="L28" s="1">
        <f t="shared" si="2"/>
        <v>17</v>
      </c>
      <c r="M28" s="6" cm="1">
        <f t="array" ref="M28">IF(COUNT(J$5:J$48)=0,"",
   IFERROR(CHOOSE($B28,HDCP_V_A1,HDCP_V_A2,HDCP_V_A3,HDCP_V_A4),0))</f>
        <v>12</v>
      </c>
      <c r="N28" s="6">
        <f t="shared" si="3"/>
        <v>29</v>
      </c>
      <c r="P28" s="13">
        <v>17</v>
      </c>
      <c r="Q28" s="14">
        <v>3.290509259259259E-2</v>
      </c>
      <c r="R28" s="1">
        <f t="shared" si="4"/>
        <v>14</v>
      </c>
      <c r="S28" s="6" cm="1">
        <f t="array" ref="S28">IF(COUNT(P$5:P$48)=0,"",
   IFERROR(CHOOSE($B28,HDCP_V_A1,HDCP_V_A2,HDCP_V_A3,HDCP_V_A4),0))</f>
        <v>12</v>
      </c>
      <c r="T28" s="6">
        <f t="shared" si="5"/>
        <v>26</v>
      </c>
      <c r="V28" s="13">
        <v>23</v>
      </c>
      <c r="W28" s="14">
        <v>2.3136574074074073E-2</v>
      </c>
      <c r="X28" s="1">
        <f t="shared" si="6"/>
        <v>8</v>
      </c>
      <c r="Y28" s="6" cm="1">
        <f t="array" ref="Y28">IF(COUNT(V$5:V$48)=0,"",
   IFERROR(CHOOSE($B28,HDCP_V_A1,HDCP_V_A2,HDCP_V_A3,HDCP_V_A4),0))</f>
        <v>12</v>
      </c>
      <c r="Z28" s="6">
        <f t="shared" si="7"/>
        <v>20</v>
      </c>
      <c r="AB28" s="13">
        <v>19</v>
      </c>
      <c r="AC28" s="14">
        <v>4.6134259259259257E-2</v>
      </c>
      <c r="AD28" s="1">
        <f t="shared" si="8"/>
        <v>12</v>
      </c>
      <c r="AE28" s="6" cm="1">
        <f t="array" ref="AE28">IF(COUNT(AB$5:AB$48)=0,"",
   IFERROR(CHOOSE($B28,HDCP_V_A1,HDCP_V_A2,HDCP_V_A3,HDCP_V_A4),0))</f>
        <v>12</v>
      </c>
      <c r="AF28" s="6">
        <f t="shared" si="9"/>
        <v>24</v>
      </c>
      <c r="AH28" s="13"/>
      <c r="AI28" s="13"/>
      <c r="AJ28" s="1" t="str">
        <f t="shared" si="10"/>
        <v/>
      </c>
      <c r="AK28" s="6" t="str" cm="1">
        <f t="array" ref="AK28">IF(COUNT(AH$5:AH$48)=0,"",
   IFERROR(CHOOSE($B28,HDCP_V_A1,HDCP_V_A2,HDCP_V_A3,HDCP_V_A4),0))</f>
        <v/>
      </c>
      <c r="AL28" s="6" t="str">
        <f t="shared" si="11"/>
        <v/>
      </c>
      <c r="AN28" s="13"/>
      <c r="AO28" s="13"/>
      <c r="AP28" s="1" t="str">
        <f t="shared" si="12"/>
        <v/>
      </c>
      <c r="AQ28" s="6" t="str" cm="1">
        <f t="array" ref="AQ28">IF(COUNT(AN$5:AN$48)=0,"",
   IFERROR(CHOOSE($B28,HDCP_V_A1,HDCP_V_A2,HDCP_V_A3,HDCP_V_A4),0))</f>
        <v/>
      </c>
      <c r="AR28" s="6" t="str">
        <f t="shared" si="13"/>
        <v/>
      </c>
      <c r="AT28" s="1">
        <f t="shared" si="14"/>
        <v>65</v>
      </c>
      <c r="AU28" s="3">
        <f t="shared" si="15"/>
        <v>125</v>
      </c>
    </row>
    <row r="29" spans="1:47" x14ac:dyDescent="0.2">
      <c r="A29" s="12" t="s">
        <v>55</v>
      </c>
      <c r="B29" s="13">
        <v>3</v>
      </c>
      <c r="D29" s="13">
        <v>19</v>
      </c>
      <c r="E29" s="15">
        <v>2.5092592592592593E-2</v>
      </c>
      <c r="F29" s="1">
        <f t="shared" si="0"/>
        <v>12</v>
      </c>
      <c r="G29" s="6" cm="1">
        <f t="array" ref="G29">IF(COUNT(D$5:D$48)=0,"",
   IFERROR(CHOOSE($B29,HDCP_V_A1,HDCP_V_A2,HDCP_V_A3,HDCP_V_A4),0))</f>
        <v>12</v>
      </c>
      <c r="H29" s="6">
        <f t="shared" si="1"/>
        <v>24</v>
      </c>
      <c r="J29" s="13">
        <v>21</v>
      </c>
      <c r="K29" s="14">
        <v>2.1701388888888888E-2</v>
      </c>
      <c r="L29" s="1">
        <f t="shared" si="2"/>
        <v>10</v>
      </c>
      <c r="M29" s="6" cm="1">
        <f t="array" ref="M29">IF(COUNT(J$5:J$48)=0,"",
   IFERROR(CHOOSE($B29,HDCP_V_A1,HDCP_V_A2,HDCP_V_A3,HDCP_V_A4),0))</f>
        <v>12</v>
      </c>
      <c r="N29" s="6">
        <f t="shared" si="3"/>
        <v>22</v>
      </c>
      <c r="P29" s="13">
        <v>19</v>
      </c>
      <c r="Q29" s="14">
        <v>3.3101851851851855E-2</v>
      </c>
      <c r="R29" s="1">
        <f t="shared" si="4"/>
        <v>12</v>
      </c>
      <c r="S29" s="6" cm="1">
        <f t="array" ref="S29">IF(COUNT(P$5:P$48)=0,"",
   IFERROR(CHOOSE($B29,HDCP_V_A1,HDCP_V_A2,HDCP_V_A3,HDCP_V_A4),0))</f>
        <v>12</v>
      </c>
      <c r="T29" s="6">
        <f t="shared" si="5"/>
        <v>24</v>
      </c>
      <c r="V29" s="13">
        <v>10</v>
      </c>
      <c r="W29" s="14">
        <v>2.1597222222222223E-2</v>
      </c>
      <c r="X29" s="1">
        <f t="shared" si="6"/>
        <v>21</v>
      </c>
      <c r="Y29" s="6" cm="1">
        <f t="array" ref="Y29">IF(COUNT(V$5:V$48)=0,"",
   IFERROR(CHOOSE($B29,HDCP_V_A1,HDCP_V_A2,HDCP_V_A3,HDCP_V_A4),0))</f>
        <v>12</v>
      </c>
      <c r="Z29" s="6">
        <f t="shared" si="7"/>
        <v>30</v>
      </c>
      <c r="AB29" s="13">
        <v>15</v>
      </c>
      <c r="AC29" s="14">
        <v>4.5254629629629631E-2</v>
      </c>
      <c r="AD29" s="1">
        <f t="shared" si="8"/>
        <v>16</v>
      </c>
      <c r="AE29" s="6" cm="1">
        <f t="array" ref="AE29">IF(COUNT(AB$5:AB$48)=0,"",
   IFERROR(CHOOSE($B29,HDCP_V_A1,HDCP_V_A2,HDCP_V_A3,HDCP_V_A4),0))</f>
        <v>12</v>
      </c>
      <c r="AF29" s="6">
        <f t="shared" si="9"/>
        <v>28</v>
      </c>
      <c r="AH29" s="13"/>
      <c r="AI29" s="14"/>
      <c r="AJ29" s="1" t="str">
        <f t="shared" si="10"/>
        <v/>
      </c>
      <c r="AK29" s="6" t="str" cm="1">
        <f t="array" ref="AK29">IF(COUNT(AH$5:AH$48)=0,"",
   IFERROR(CHOOSE($B29,HDCP_V_A1,HDCP_V_A2,HDCP_V_A3,HDCP_V_A4),0))</f>
        <v/>
      </c>
      <c r="AL29" s="6" t="str">
        <f t="shared" si="11"/>
        <v/>
      </c>
      <c r="AN29" s="13"/>
      <c r="AO29" s="13"/>
      <c r="AP29" s="1" t="str">
        <f t="shared" si="12"/>
        <v/>
      </c>
      <c r="AQ29" s="6" t="str" cm="1">
        <f t="array" ref="AQ29">IF(COUNT(AN$5:AN$48)=0,"",
   IFERROR(CHOOSE($B29,HDCP_V_A1,HDCP_V_A2,HDCP_V_A3,HDCP_V_A4),0))</f>
        <v/>
      </c>
      <c r="AR29" s="6" t="str">
        <f t="shared" si="13"/>
        <v/>
      </c>
      <c r="AT29" s="1">
        <f t="shared" si="14"/>
        <v>71</v>
      </c>
      <c r="AU29" s="3">
        <f t="shared" si="15"/>
        <v>128</v>
      </c>
    </row>
    <row r="30" spans="1:47" x14ac:dyDescent="0.2">
      <c r="A30" s="12" t="s">
        <v>56</v>
      </c>
      <c r="B30" s="13">
        <v>3</v>
      </c>
      <c r="D30" s="13">
        <v>26</v>
      </c>
      <c r="E30" s="15">
        <v>2.630787037037037E-2</v>
      </c>
      <c r="F30" s="1">
        <f t="shared" si="0"/>
        <v>5</v>
      </c>
      <c r="G30" s="6" cm="1">
        <f t="array" ref="G30">IF(COUNT(D$5:D$48)=0,"",
   IFERROR(CHOOSE($B30,HDCP_V_A1,HDCP_V_A2,HDCP_V_A3,HDCP_V_A4),0))</f>
        <v>12</v>
      </c>
      <c r="H30" s="6">
        <f t="shared" si="1"/>
        <v>17</v>
      </c>
      <c r="J30" s="13">
        <v>25</v>
      </c>
      <c r="K30" s="14">
        <v>2.2881944444444444E-2</v>
      </c>
      <c r="L30" s="1">
        <f t="shared" si="2"/>
        <v>6</v>
      </c>
      <c r="M30" s="6" cm="1">
        <f t="array" ref="M30">IF(COUNT(J$5:J$48)=0,"",
   IFERROR(CHOOSE($B30,HDCP_V_A1,HDCP_V_A2,HDCP_V_A3,HDCP_V_A4),0))</f>
        <v>12</v>
      </c>
      <c r="N30" s="6">
        <f t="shared" si="3"/>
        <v>18</v>
      </c>
      <c r="P30" s="13">
        <v>24</v>
      </c>
      <c r="Q30" s="14">
        <v>3.6736111111111108E-2</v>
      </c>
      <c r="R30" s="1">
        <f t="shared" si="4"/>
        <v>7</v>
      </c>
      <c r="S30" s="6" cm="1">
        <f t="array" ref="S30">IF(COUNT(P$5:P$48)=0,"",
   IFERROR(CHOOSE($B30,HDCP_V_A1,HDCP_V_A2,HDCP_V_A3,HDCP_V_A4),0))</f>
        <v>12</v>
      </c>
      <c r="T30" s="6">
        <f t="shared" si="5"/>
        <v>19</v>
      </c>
      <c r="V30" s="13">
        <v>24</v>
      </c>
      <c r="W30" s="14">
        <v>2.4571759259259258E-2</v>
      </c>
      <c r="X30" s="1">
        <f t="shared" si="6"/>
        <v>7</v>
      </c>
      <c r="Y30" s="6" cm="1">
        <f t="array" ref="Y30">IF(COUNT(V$5:V$48)=0,"",
   IFERROR(CHOOSE($B30,HDCP_V_A1,HDCP_V_A2,HDCP_V_A3,HDCP_V_A4),0))</f>
        <v>12</v>
      </c>
      <c r="Z30" s="6">
        <f t="shared" si="7"/>
        <v>19</v>
      </c>
      <c r="AB30" s="13">
        <v>23</v>
      </c>
      <c r="AC30" s="14">
        <v>4.9212962962962965E-2</v>
      </c>
      <c r="AD30" s="1">
        <f t="shared" si="8"/>
        <v>8</v>
      </c>
      <c r="AE30" s="6" cm="1">
        <f t="array" ref="AE30">IF(COUNT(AB$5:AB$48)=0,"",
   IFERROR(CHOOSE($B30,HDCP_V_A1,HDCP_V_A2,HDCP_V_A3,HDCP_V_A4),0))</f>
        <v>12</v>
      </c>
      <c r="AF30" s="6">
        <f t="shared" si="9"/>
        <v>20</v>
      </c>
      <c r="AH30" s="13"/>
      <c r="AI30" s="14"/>
      <c r="AJ30" s="1" t="str">
        <f t="shared" si="10"/>
        <v/>
      </c>
      <c r="AK30" s="6" t="str" cm="1">
        <f t="array" ref="AK30">IF(COUNT(AH$5:AH$48)=0,"",
   IFERROR(CHOOSE($B30,HDCP_V_A1,HDCP_V_A2,HDCP_V_A3,HDCP_V_A4),0))</f>
        <v/>
      </c>
      <c r="AL30" s="6" t="str">
        <f t="shared" si="11"/>
        <v/>
      </c>
      <c r="AN30" s="13"/>
      <c r="AO30" s="14"/>
      <c r="AP30" s="1" t="str">
        <f t="shared" si="12"/>
        <v/>
      </c>
      <c r="AQ30" s="6" t="str" cm="1">
        <f t="array" ref="AQ30">IF(COUNT(AN$5:AN$48)=0,"",
   IFERROR(CHOOSE($B30,HDCP_V_A1,HDCP_V_A2,HDCP_V_A3,HDCP_V_A4),0))</f>
        <v/>
      </c>
      <c r="AR30" s="6" t="str">
        <f t="shared" si="13"/>
        <v/>
      </c>
      <c r="AT30" s="1">
        <f t="shared" si="14"/>
        <v>33</v>
      </c>
      <c r="AU30" s="3">
        <f t="shared" si="15"/>
        <v>93</v>
      </c>
    </row>
    <row r="31" spans="1:47" x14ac:dyDescent="0.2">
      <c r="A31" s="12" t="s">
        <v>99</v>
      </c>
      <c r="B31" s="13">
        <v>2</v>
      </c>
      <c r="D31" s="13">
        <v>22</v>
      </c>
      <c r="E31" s="15">
        <v>2.5509259259259259E-2</v>
      </c>
      <c r="F31" s="1">
        <f t="shared" si="0"/>
        <v>9</v>
      </c>
      <c r="G31" s="6" cm="1">
        <f t="array" ref="G31">IF(COUNT(D$5:D$48)=0,"",
   IFERROR(CHOOSE($B31,HDCP_V_A1,HDCP_V_A2,HDCP_V_A3,HDCP_V_A4),0))</f>
        <v>6</v>
      </c>
      <c r="H31" s="6">
        <f t="shared" ref="H31" si="16">IF(COUNT(D$5:D$48)=0,"",MIN(F31+G31,POINTS_CAP_A))</f>
        <v>15</v>
      </c>
      <c r="J31" s="13">
        <v>24</v>
      </c>
      <c r="K31" s="14">
        <v>2.2453703703703705E-2</v>
      </c>
      <c r="L31" s="1">
        <f t="shared" si="2"/>
        <v>7</v>
      </c>
      <c r="M31" s="6" cm="1">
        <f t="array" ref="M31">IF(COUNT(J$5:J$48)=0,"",
   IFERROR(CHOOSE($B31,HDCP_V_A1,HDCP_V_A2,HDCP_V_A3,HDCP_V_A4),0))</f>
        <v>6</v>
      </c>
      <c r="N31" s="6">
        <f t="shared" ref="N31" si="17">IF(COUNT(J$5:J$48)=0,"",MIN(L31+M31,POINTS_CAP_A))</f>
        <v>13</v>
      </c>
      <c r="P31" s="13">
        <v>26</v>
      </c>
      <c r="Q31" s="14">
        <v>3.8819444444444441E-2</v>
      </c>
      <c r="R31" s="1">
        <f t="shared" si="4"/>
        <v>5</v>
      </c>
      <c r="S31" s="6" cm="1">
        <f t="array" ref="S31">IF(COUNT(P$5:P$48)=0,"",
   IFERROR(CHOOSE($B31,HDCP_V_A1,HDCP_V_A2,HDCP_V_A3,HDCP_V_A4),0))</f>
        <v>6</v>
      </c>
      <c r="T31" s="6">
        <f t="shared" ref="T31" si="18">IF(COUNT(P$5:P$48)=0,"",MIN(R31+S31,POINTS_CAP_A))</f>
        <v>11</v>
      </c>
      <c r="V31" s="13">
        <v>26</v>
      </c>
      <c r="W31" s="14">
        <v>2.6655092592592591E-2</v>
      </c>
      <c r="X31" s="1">
        <f t="shared" si="6"/>
        <v>5</v>
      </c>
      <c r="Y31" s="6" cm="1">
        <f t="array" ref="Y31">IF(COUNT(V$5:V$48)=0,"",
   IFERROR(CHOOSE($B31,HDCP_V_A1,HDCP_V_A2,HDCP_V_A3,HDCP_V_A4),0))</f>
        <v>6</v>
      </c>
      <c r="Z31" s="6">
        <f t="shared" si="7"/>
        <v>11</v>
      </c>
      <c r="AB31" s="13">
        <v>26</v>
      </c>
      <c r="AC31" s="23">
        <v>4.9212962962962965E-2</v>
      </c>
      <c r="AD31" s="1">
        <f t="shared" si="8"/>
        <v>5</v>
      </c>
      <c r="AE31" s="6" cm="1">
        <f t="array" ref="AE31">IF(COUNT(AB$5:AB$48)=0,"",
   IFERROR(CHOOSE($B31,HDCP_V_A1,HDCP_V_A2,HDCP_V_A3,HDCP_V_A4),0))</f>
        <v>6</v>
      </c>
      <c r="AF31" s="6">
        <f t="shared" si="9"/>
        <v>11</v>
      </c>
      <c r="AH31" s="13"/>
      <c r="AI31" s="14"/>
      <c r="AJ31" s="1" t="str">
        <f t="shared" si="10"/>
        <v/>
      </c>
      <c r="AK31" s="6" t="str" cm="1">
        <f t="array" ref="AK31">IF(COUNT(AH$5:AH$48)=0,"",
   IFERROR(CHOOSE($B31,HDCP_V_A1,HDCP_V_A2,HDCP_V_A3,HDCP_V_A4),0))</f>
        <v/>
      </c>
      <c r="AL31" s="6" t="str">
        <f t="shared" ref="AL31" si="19">IF(COUNT(AH$5:AH$48)=0,"",MIN(AJ31+AK31,POINTS_CAP_A))</f>
        <v/>
      </c>
      <c r="AN31" s="13"/>
      <c r="AO31" s="14"/>
      <c r="AP31" s="1" t="str">
        <f t="shared" si="12"/>
        <v/>
      </c>
      <c r="AQ31" s="6" t="str" cm="1">
        <f t="array" ref="AQ31">IF(COUNT(AN$5:AN$48)=0,"",
   IFERROR(CHOOSE($B31,HDCP_V_A1,HDCP_V_A2,HDCP_V_A3,HDCP_V_A4),0))</f>
        <v/>
      </c>
      <c r="AR31" s="6" t="str">
        <f t="shared" ref="AR31" si="20">IF(COUNT(AN$5:AN$48)=0,"",MIN(AP31+AQ31,POINTS_CAP_A))</f>
        <v/>
      </c>
      <c r="AT31" s="1">
        <f t="shared" si="14"/>
        <v>31</v>
      </c>
      <c r="AU31" s="3">
        <f t="shared" si="15"/>
        <v>61</v>
      </c>
    </row>
    <row r="32" spans="1:47" x14ac:dyDescent="0.2">
      <c r="A32" s="12"/>
      <c r="B32" s="13"/>
      <c r="D32" s="13"/>
      <c r="E32" s="14"/>
      <c r="J32" s="13"/>
      <c r="K32" s="14"/>
      <c r="P32" s="13"/>
      <c r="Q32" s="14"/>
      <c r="V32" s="13"/>
      <c r="W32" s="14"/>
      <c r="AB32" s="13"/>
      <c r="AC32" s="14"/>
      <c r="AH32" s="13"/>
      <c r="AI32" s="13"/>
      <c r="AN32" s="13"/>
      <c r="AO32" s="14"/>
      <c r="AT32" s="1" t="str">
        <f t="shared" ref="AT32:AT55" si="21">IF(F32="","",SUM(F32,L32,R32,X32,AJ32,AP32))</f>
        <v/>
      </c>
      <c r="AU32" s="3" t="str">
        <f t="shared" ref="AU32:AU55" si="22">IF(H32="","",SUM(H32,N32,T32,Z32,AL32,AR32))</f>
        <v/>
      </c>
    </row>
    <row r="33" spans="1:47" x14ac:dyDescent="0.2">
      <c r="A33" s="12"/>
      <c r="B33" s="13"/>
      <c r="D33" s="13"/>
      <c r="E33" s="14"/>
      <c r="J33" s="13"/>
      <c r="K33" s="14"/>
      <c r="P33" s="13"/>
      <c r="Q33" s="13"/>
      <c r="V33" s="13"/>
      <c r="W33" s="13"/>
      <c r="AB33" s="13"/>
      <c r="AC33" s="13"/>
      <c r="AH33" s="13"/>
      <c r="AI33" s="13"/>
      <c r="AN33" s="13"/>
      <c r="AO33" s="14"/>
      <c r="AT33" s="1" t="str">
        <f t="shared" si="21"/>
        <v/>
      </c>
      <c r="AU33" s="3" t="str">
        <f t="shared" si="22"/>
        <v/>
      </c>
    </row>
    <row r="34" spans="1:47" x14ac:dyDescent="0.2">
      <c r="A34" s="12"/>
      <c r="B34" s="13"/>
      <c r="D34" s="13"/>
      <c r="E34" s="14"/>
      <c r="J34" s="13"/>
      <c r="K34" s="14"/>
      <c r="P34" s="13"/>
      <c r="Q34" s="14"/>
      <c r="V34" s="13"/>
      <c r="W34" s="14"/>
      <c r="AB34" s="13"/>
      <c r="AC34" s="14"/>
      <c r="AH34" s="13"/>
      <c r="AI34" s="14"/>
      <c r="AN34" s="13"/>
      <c r="AO34" s="14"/>
      <c r="AT34" s="1" t="str">
        <f t="shared" si="21"/>
        <v/>
      </c>
      <c r="AU34" s="3" t="str">
        <f t="shared" si="22"/>
        <v/>
      </c>
    </row>
    <row r="35" spans="1:47" x14ac:dyDescent="0.2">
      <c r="A35" s="12"/>
      <c r="B35" s="13"/>
      <c r="D35" s="13"/>
      <c r="E35" s="13"/>
      <c r="J35" s="13"/>
      <c r="K35" s="13"/>
      <c r="P35" s="13"/>
      <c r="Q35" s="13"/>
      <c r="V35" s="13"/>
      <c r="W35" s="13"/>
      <c r="AB35" s="13"/>
      <c r="AC35" s="13"/>
      <c r="AH35" s="13"/>
      <c r="AI35" s="13"/>
      <c r="AN35" s="13"/>
      <c r="AO35" s="13"/>
      <c r="AT35" s="1" t="str">
        <f t="shared" si="21"/>
        <v/>
      </c>
      <c r="AU35" s="3" t="str">
        <f t="shared" si="22"/>
        <v/>
      </c>
    </row>
    <row r="36" spans="1:47" x14ac:dyDescent="0.2">
      <c r="A36" s="12"/>
      <c r="B36" s="13"/>
      <c r="D36" s="12"/>
      <c r="E36" s="13"/>
      <c r="J36" s="13"/>
      <c r="K36" s="13"/>
      <c r="P36" s="13"/>
      <c r="Q36" s="13"/>
      <c r="V36" s="13"/>
      <c r="W36" s="13"/>
      <c r="AB36" s="13"/>
      <c r="AC36" s="13"/>
      <c r="AH36" s="13"/>
      <c r="AI36" s="13"/>
      <c r="AN36" s="13"/>
      <c r="AO36" s="13"/>
      <c r="AT36" s="1" t="str">
        <f t="shared" si="21"/>
        <v/>
      </c>
      <c r="AU36" s="3" t="str">
        <f t="shared" si="22"/>
        <v/>
      </c>
    </row>
    <row r="37" spans="1:47" x14ac:dyDescent="0.2">
      <c r="A37" s="12"/>
      <c r="B37" s="13"/>
      <c r="D37" s="13"/>
      <c r="E37" s="13"/>
      <c r="J37" s="13"/>
      <c r="K37" s="13"/>
      <c r="P37" s="13"/>
      <c r="Q37" s="13"/>
      <c r="V37" s="13"/>
      <c r="W37" s="13"/>
      <c r="AB37" s="13"/>
      <c r="AC37" s="13"/>
      <c r="AH37" s="13"/>
      <c r="AI37" s="13"/>
      <c r="AN37" s="13"/>
      <c r="AO37" s="13"/>
      <c r="AT37" s="1" t="str">
        <f t="shared" si="21"/>
        <v/>
      </c>
      <c r="AU37" s="3" t="str">
        <f t="shared" si="22"/>
        <v/>
      </c>
    </row>
    <row r="38" spans="1:47" x14ac:dyDescent="0.2">
      <c r="A38" s="12"/>
      <c r="B38" s="13"/>
      <c r="D38" s="13"/>
      <c r="E38" s="13"/>
      <c r="J38" s="13"/>
      <c r="K38" s="13"/>
      <c r="P38" s="13"/>
      <c r="Q38" s="13"/>
      <c r="V38" s="13"/>
      <c r="W38" s="13"/>
      <c r="AB38" s="13"/>
      <c r="AC38" s="13"/>
      <c r="AH38" s="13"/>
      <c r="AI38" s="13"/>
      <c r="AN38" s="13"/>
      <c r="AO38" s="13"/>
      <c r="AT38" s="1" t="str">
        <f t="shared" si="21"/>
        <v/>
      </c>
      <c r="AU38" s="3" t="str">
        <f t="shared" si="22"/>
        <v/>
      </c>
    </row>
    <row r="39" spans="1:47" x14ac:dyDescent="0.2">
      <c r="A39" s="12"/>
      <c r="B39" s="13"/>
      <c r="D39" s="13"/>
      <c r="E39" s="13"/>
      <c r="J39" s="13"/>
      <c r="K39" s="13"/>
      <c r="P39" s="13"/>
      <c r="Q39" s="13"/>
      <c r="V39" s="13"/>
      <c r="W39" s="13"/>
      <c r="AB39" s="13"/>
      <c r="AC39" s="13"/>
      <c r="AH39" s="13"/>
      <c r="AI39" s="13"/>
      <c r="AN39" s="13"/>
      <c r="AO39" s="13"/>
      <c r="AT39" s="1" t="str">
        <f t="shared" si="21"/>
        <v/>
      </c>
      <c r="AU39" s="3" t="str">
        <f t="shared" si="22"/>
        <v/>
      </c>
    </row>
    <row r="40" spans="1:47" x14ac:dyDescent="0.2">
      <c r="A40" s="12"/>
      <c r="B40" s="13"/>
      <c r="D40" s="13"/>
      <c r="E40" s="13"/>
      <c r="J40" s="13"/>
      <c r="K40" s="13"/>
      <c r="P40" s="13"/>
      <c r="Q40" s="13"/>
      <c r="V40" s="13"/>
      <c r="W40" s="13"/>
      <c r="AB40" s="13"/>
      <c r="AC40" s="13"/>
      <c r="AH40" s="13"/>
      <c r="AI40" s="13"/>
      <c r="AN40" s="13"/>
      <c r="AO40" s="13"/>
      <c r="AT40" s="1" t="str">
        <f t="shared" si="21"/>
        <v/>
      </c>
      <c r="AU40" s="3" t="str">
        <f t="shared" si="22"/>
        <v/>
      </c>
    </row>
    <row r="41" spans="1:47" x14ac:dyDescent="0.2">
      <c r="A41" s="12"/>
      <c r="B41" s="13"/>
      <c r="D41" s="13"/>
      <c r="E41" s="13"/>
      <c r="J41" s="13"/>
      <c r="K41" s="13"/>
      <c r="P41" s="13"/>
      <c r="Q41" s="13"/>
      <c r="V41" s="13"/>
      <c r="W41" s="13"/>
      <c r="AB41" s="13"/>
      <c r="AC41" s="13"/>
      <c r="AH41" s="13"/>
      <c r="AI41" s="13"/>
      <c r="AN41" s="13"/>
      <c r="AO41" s="13"/>
      <c r="AT41" s="1" t="str">
        <f t="shared" si="21"/>
        <v/>
      </c>
      <c r="AU41" s="3" t="str">
        <f t="shared" si="22"/>
        <v/>
      </c>
    </row>
    <row r="42" spans="1:47" x14ac:dyDescent="0.2">
      <c r="A42" s="12"/>
      <c r="B42" s="13"/>
      <c r="D42" s="13"/>
      <c r="E42" s="13"/>
      <c r="J42" s="13"/>
      <c r="K42" s="13"/>
      <c r="P42" s="13"/>
      <c r="Q42" s="13"/>
      <c r="V42" s="13"/>
      <c r="W42" s="13"/>
      <c r="AB42" s="13"/>
      <c r="AC42" s="13"/>
      <c r="AH42" s="13"/>
      <c r="AI42" s="13"/>
      <c r="AN42" s="13"/>
      <c r="AO42" s="13"/>
      <c r="AT42" s="1" t="str">
        <f t="shared" si="21"/>
        <v/>
      </c>
      <c r="AU42" s="3" t="str">
        <f t="shared" si="22"/>
        <v/>
      </c>
    </row>
    <row r="43" spans="1:47" x14ac:dyDescent="0.2">
      <c r="A43" s="12"/>
      <c r="B43" s="13"/>
      <c r="D43" s="13"/>
      <c r="E43" s="13"/>
      <c r="J43" s="13"/>
      <c r="K43" s="13"/>
      <c r="P43" s="13"/>
      <c r="Q43" s="13"/>
      <c r="V43" s="13"/>
      <c r="W43" s="13"/>
      <c r="AB43" s="13"/>
      <c r="AC43" s="13"/>
      <c r="AH43" s="13"/>
      <c r="AI43" s="13"/>
      <c r="AN43" s="13"/>
      <c r="AO43" s="13"/>
      <c r="AT43" s="1" t="str">
        <f t="shared" si="21"/>
        <v/>
      </c>
      <c r="AU43" s="3" t="str">
        <f t="shared" si="22"/>
        <v/>
      </c>
    </row>
    <row r="44" spans="1:47" x14ac:dyDescent="0.2">
      <c r="A44" s="12"/>
      <c r="B44" s="13"/>
      <c r="D44" s="13"/>
      <c r="E44" s="13"/>
      <c r="J44" s="13"/>
      <c r="K44" s="13"/>
      <c r="P44" s="13"/>
      <c r="Q44" s="13"/>
      <c r="V44" s="13"/>
      <c r="W44" s="13"/>
      <c r="AB44" s="13"/>
      <c r="AC44" s="13"/>
      <c r="AH44" s="13"/>
      <c r="AI44" s="13"/>
      <c r="AN44" s="13"/>
      <c r="AO44" s="13"/>
      <c r="AT44" s="1" t="str">
        <f t="shared" si="21"/>
        <v/>
      </c>
      <c r="AU44" s="3" t="str">
        <f t="shared" si="22"/>
        <v/>
      </c>
    </row>
    <row r="45" spans="1:47" x14ac:dyDescent="0.2">
      <c r="A45" s="12"/>
      <c r="B45" s="13"/>
      <c r="D45" s="13"/>
      <c r="E45" s="13"/>
      <c r="J45" s="13"/>
      <c r="K45" s="13"/>
      <c r="P45" s="13"/>
      <c r="Q45" s="13"/>
      <c r="V45" s="13"/>
      <c r="W45" s="13"/>
      <c r="AB45" s="13"/>
      <c r="AC45" s="13"/>
      <c r="AH45" s="13"/>
      <c r="AI45" s="13"/>
      <c r="AN45" s="13"/>
      <c r="AO45" s="13"/>
      <c r="AT45" s="1" t="str">
        <f t="shared" si="21"/>
        <v/>
      </c>
      <c r="AU45" s="3" t="str">
        <f t="shared" si="22"/>
        <v/>
      </c>
    </row>
    <row r="46" spans="1:47" x14ac:dyDescent="0.2">
      <c r="A46" s="12"/>
      <c r="B46" s="13"/>
      <c r="D46" s="13"/>
      <c r="E46" s="13"/>
      <c r="J46" s="13"/>
      <c r="K46" s="13"/>
      <c r="P46" s="13"/>
      <c r="Q46" s="13"/>
      <c r="V46" s="13"/>
      <c r="W46" s="13"/>
      <c r="AB46" s="13"/>
      <c r="AC46" s="13"/>
      <c r="AH46" s="13"/>
      <c r="AI46" s="13"/>
      <c r="AN46" s="13"/>
      <c r="AO46" s="13"/>
      <c r="AT46" s="1" t="str">
        <f t="shared" si="21"/>
        <v/>
      </c>
      <c r="AU46" s="3" t="str">
        <f t="shared" si="22"/>
        <v/>
      </c>
    </row>
    <row r="47" spans="1:47" x14ac:dyDescent="0.2">
      <c r="A47" s="12"/>
      <c r="B47" s="13"/>
      <c r="D47" s="13"/>
      <c r="E47" s="13"/>
      <c r="J47" s="13"/>
      <c r="K47" s="13"/>
      <c r="P47" s="13"/>
      <c r="Q47" s="13"/>
      <c r="V47" s="13"/>
      <c r="W47" s="13"/>
      <c r="AB47" s="13"/>
      <c r="AC47" s="13"/>
      <c r="AH47" s="13"/>
      <c r="AI47" s="13"/>
      <c r="AN47" s="13"/>
      <c r="AO47" s="13"/>
      <c r="AT47" s="1" t="str">
        <f t="shared" si="21"/>
        <v/>
      </c>
      <c r="AU47" s="3" t="str">
        <f t="shared" si="22"/>
        <v/>
      </c>
    </row>
    <row r="48" spans="1:47" x14ac:dyDescent="0.2">
      <c r="A48" s="12"/>
      <c r="B48" s="13"/>
      <c r="D48" s="13"/>
      <c r="E48" s="13"/>
      <c r="J48" s="13"/>
      <c r="K48" s="13"/>
      <c r="P48" s="13"/>
      <c r="Q48" s="13"/>
      <c r="V48" s="13"/>
      <c r="W48" s="13"/>
      <c r="AB48" s="13"/>
      <c r="AC48" s="13"/>
      <c r="AH48" s="13"/>
      <c r="AI48" s="13"/>
      <c r="AN48" s="13"/>
      <c r="AO48" s="13"/>
      <c r="AT48" s="1" t="str">
        <f t="shared" si="21"/>
        <v/>
      </c>
      <c r="AU48" s="3" t="str">
        <f t="shared" si="22"/>
        <v/>
      </c>
    </row>
    <row r="49" spans="1:47" x14ac:dyDescent="0.2">
      <c r="A49" s="12"/>
      <c r="B49" s="13"/>
      <c r="D49" s="13"/>
      <c r="E49" s="13"/>
      <c r="J49" s="13"/>
      <c r="K49" s="13"/>
      <c r="P49" s="13"/>
      <c r="Q49" s="13"/>
      <c r="V49" s="13"/>
      <c r="W49" s="13"/>
      <c r="AB49" s="13"/>
      <c r="AC49" s="13"/>
      <c r="AH49" s="13"/>
      <c r="AI49" s="13"/>
      <c r="AN49" s="13"/>
      <c r="AO49" s="13"/>
      <c r="AT49" s="1" t="str">
        <f t="shared" si="21"/>
        <v/>
      </c>
      <c r="AU49" s="3" t="str">
        <f t="shared" si="22"/>
        <v/>
      </c>
    </row>
    <row r="50" spans="1:47" x14ac:dyDescent="0.2">
      <c r="A50" s="12"/>
      <c r="B50" s="13"/>
      <c r="D50" s="13"/>
      <c r="E50" s="13"/>
      <c r="J50" s="13"/>
      <c r="K50" s="13"/>
      <c r="P50" s="13"/>
      <c r="Q50" s="13"/>
      <c r="V50" s="13"/>
      <c r="W50" s="13"/>
      <c r="AB50" s="13"/>
      <c r="AC50" s="13"/>
      <c r="AH50" s="13"/>
      <c r="AI50" s="13"/>
      <c r="AN50" s="13"/>
      <c r="AO50" s="13"/>
      <c r="AT50" s="1" t="str">
        <f t="shared" si="21"/>
        <v/>
      </c>
      <c r="AU50" s="3" t="str">
        <f t="shared" si="22"/>
        <v/>
      </c>
    </row>
    <row r="51" spans="1:47" x14ac:dyDescent="0.2">
      <c r="A51" s="12"/>
      <c r="B51" s="13"/>
      <c r="D51" s="13"/>
      <c r="E51" s="13"/>
      <c r="J51" s="13"/>
      <c r="K51" s="13"/>
      <c r="P51" s="13"/>
      <c r="Q51" s="13"/>
      <c r="V51" s="13"/>
      <c r="W51" s="13"/>
      <c r="AB51" s="13"/>
      <c r="AC51" s="13"/>
      <c r="AH51" s="13"/>
      <c r="AI51" s="13"/>
      <c r="AN51" s="13"/>
      <c r="AO51" s="13"/>
      <c r="AT51" s="1" t="str">
        <f t="shared" si="21"/>
        <v/>
      </c>
      <c r="AU51" s="3" t="str">
        <f t="shared" si="22"/>
        <v/>
      </c>
    </row>
    <row r="52" spans="1:47" x14ac:dyDescent="0.2">
      <c r="A52" s="12"/>
      <c r="B52" s="13"/>
      <c r="D52" s="13"/>
      <c r="E52" s="13"/>
      <c r="J52" s="13"/>
      <c r="K52" s="13"/>
      <c r="P52" s="13"/>
      <c r="Q52" s="13"/>
      <c r="V52" s="13"/>
      <c r="W52" s="13"/>
      <c r="AB52" s="13"/>
      <c r="AC52" s="13"/>
      <c r="AH52" s="13"/>
      <c r="AI52" s="13"/>
      <c r="AN52" s="13"/>
      <c r="AO52" s="13"/>
      <c r="AT52" s="1" t="str">
        <f t="shared" si="21"/>
        <v/>
      </c>
      <c r="AU52" s="3" t="str">
        <f t="shared" si="22"/>
        <v/>
      </c>
    </row>
    <row r="53" spans="1:47" x14ac:dyDescent="0.2">
      <c r="A53" s="12"/>
      <c r="B53" s="13"/>
      <c r="D53" s="13"/>
      <c r="E53" s="13"/>
      <c r="J53" s="13"/>
      <c r="K53" s="13"/>
      <c r="P53" s="13"/>
      <c r="Q53" s="13"/>
      <c r="V53" s="13"/>
      <c r="W53" s="13"/>
      <c r="AB53" s="13"/>
      <c r="AC53" s="13"/>
      <c r="AH53" s="13"/>
      <c r="AI53" s="13"/>
      <c r="AN53" s="13"/>
      <c r="AO53" s="13"/>
      <c r="AT53" s="1" t="str">
        <f t="shared" si="21"/>
        <v/>
      </c>
      <c r="AU53" s="3" t="str">
        <f t="shared" si="22"/>
        <v/>
      </c>
    </row>
    <row r="54" spans="1:47" x14ac:dyDescent="0.2">
      <c r="A54" s="12"/>
      <c r="B54" s="13"/>
      <c r="D54" s="13"/>
      <c r="E54" s="13"/>
      <c r="J54" s="13"/>
      <c r="K54" s="13"/>
      <c r="P54" s="13"/>
      <c r="Q54" s="13"/>
      <c r="V54" s="13"/>
      <c r="W54" s="13"/>
      <c r="AB54" s="13"/>
      <c r="AC54" s="13"/>
      <c r="AH54" s="13"/>
      <c r="AI54" s="13"/>
      <c r="AN54" s="13"/>
      <c r="AO54" s="13"/>
      <c r="AT54" s="1" t="str">
        <f t="shared" si="21"/>
        <v/>
      </c>
      <c r="AU54" s="3" t="str">
        <f t="shared" si="22"/>
        <v/>
      </c>
    </row>
    <row r="55" spans="1:47" x14ac:dyDescent="0.2">
      <c r="A55" s="12"/>
      <c r="B55" s="13"/>
      <c r="D55" s="13"/>
      <c r="E55" s="13"/>
      <c r="J55" s="13"/>
      <c r="K55" s="13"/>
      <c r="P55" s="13"/>
      <c r="Q55" s="13"/>
      <c r="V55" s="13"/>
      <c r="W55" s="13"/>
      <c r="AB55" s="13"/>
      <c r="AC55" s="13"/>
      <c r="AH55" s="13"/>
      <c r="AI55" s="13"/>
      <c r="AN55" s="13"/>
      <c r="AO55" s="13"/>
      <c r="AT55" s="1" t="str">
        <f t="shared" si="21"/>
        <v/>
      </c>
      <c r="AU55" s="3" t="str">
        <f t="shared" si="22"/>
        <v/>
      </c>
    </row>
  </sheetData>
  <sheetProtection sheet="1" objects="1" scenarios="1"/>
  <mergeCells count="31">
    <mergeCell ref="B1:B3"/>
    <mergeCell ref="D1:H1"/>
    <mergeCell ref="J1:N1"/>
    <mergeCell ref="P1:T1"/>
    <mergeCell ref="V1:Z1"/>
    <mergeCell ref="Q2:Q3"/>
    <mergeCell ref="R2:T2"/>
    <mergeCell ref="V2:V3"/>
    <mergeCell ref="W2:W3"/>
    <mergeCell ref="L2:N2"/>
    <mergeCell ref="P2:P3"/>
    <mergeCell ref="D2:D3"/>
    <mergeCell ref="E2:E3"/>
    <mergeCell ref="F2:H2"/>
    <mergeCell ref="J2:J3"/>
    <mergeCell ref="K2:K3"/>
    <mergeCell ref="X2:Z2"/>
    <mergeCell ref="AH2:AH3"/>
    <mergeCell ref="AI2:AI3"/>
    <mergeCell ref="AJ2:AL2"/>
    <mergeCell ref="AN2:AN3"/>
    <mergeCell ref="AT1:AT3"/>
    <mergeCell ref="AU1:AU3"/>
    <mergeCell ref="AB1:AF1"/>
    <mergeCell ref="AB2:AB3"/>
    <mergeCell ref="AC2:AC3"/>
    <mergeCell ref="AD2:AF2"/>
    <mergeCell ref="AH1:AL1"/>
    <mergeCell ref="AP2:AR2"/>
    <mergeCell ref="AO2:AO3"/>
    <mergeCell ref="AN1:AR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5"/>
  <sheetViews>
    <sheetView topLeftCell="A21" zoomScale="125" zoomScaleNormal="125" workbookViewId="0">
      <pane xSplit="1" topLeftCell="Q1" activePane="topRight" state="frozen"/>
      <selection pane="topRight" activeCell="AB26" sqref="AB26"/>
    </sheetView>
  </sheetViews>
  <sheetFormatPr baseColWidth="10" defaultColWidth="8.83203125" defaultRowHeight="15" x14ac:dyDescent="0.2"/>
  <cols>
    <col min="1" max="1" width="16.6640625" bestFit="1" customWidth="1"/>
    <col min="2" max="2" width="9.1640625" style="1" customWidth="1"/>
    <col min="3" max="3" width="2" style="1" customWidth="1"/>
    <col min="4" max="4" width="7.5" style="1" bestFit="1" customWidth="1"/>
    <col min="5" max="5" width="8.1640625" style="1" bestFit="1" customWidth="1"/>
    <col min="6" max="6" width="8.33203125" style="1" customWidth="1"/>
    <col min="7" max="8" width="8.33203125" style="6" bestFit="1" customWidth="1"/>
    <col min="9" max="9" width="2" style="1" customWidth="1"/>
    <col min="10" max="10" width="7.5" style="1" bestFit="1" customWidth="1"/>
    <col min="11" max="11" width="8.1640625" style="1" bestFit="1" customWidth="1"/>
    <col min="12" max="12" width="8.33203125" style="1" customWidth="1"/>
    <col min="13" max="14" width="8.33203125" style="6" bestFit="1" customWidth="1"/>
    <col min="15" max="15" width="2" style="1" customWidth="1"/>
    <col min="16" max="17" width="8.1640625" style="1" bestFit="1" customWidth="1"/>
    <col min="18" max="18" width="8.33203125" style="1" customWidth="1"/>
    <col min="19" max="20" width="8.33203125" style="6" bestFit="1" customWidth="1"/>
    <col min="21" max="21" width="2" style="1" customWidth="1"/>
    <col min="22" max="22" width="7.5" style="1" bestFit="1" customWidth="1"/>
    <col min="23" max="23" width="8.1640625" style="1" bestFit="1" customWidth="1"/>
    <col min="24" max="24" width="8.33203125" style="1" customWidth="1"/>
    <col min="25" max="26" width="8.33203125" style="6" bestFit="1" customWidth="1"/>
    <col min="27" max="27" width="2" style="1" customWidth="1"/>
    <col min="28" max="28" width="7.5" style="1" bestFit="1" customWidth="1"/>
    <col min="29" max="29" width="8.1640625" style="1" bestFit="1" customWidth="1"/>
    <col min="30" max="30" width="8.33203125" style="1" customWidth="1"/>
    <col min="31" max="32" width="8.33203125" style="6" bestFit="1" customWidth="1"/>
    <col min="33" max="33" width="2" style="1" customWidth="1"/>
    <col min="34" max="34" width="7.5" style="1" bestFit="1" customWidth="1"/>
    <col min="35" max="35" width="8.1640625" style="1" bestFit="1" customWidth="1"/>
    <col min="36" max="36" width="8.33203125" style="1" customWidth="1"/>
    <col min="37" max="38" width="8.33203125" style="6" bestFit="1" customWidth="1"/>
    <col min="39" max="39" width="2" style="1" customWidth="1"/>
    <col min="40" max="40" width="7.5" style="1" bestFit="1" customWidth="1"/>
    <col min="41" max="41" width="8.1640625" style="1" bestFit="1" customWidth="1"/>
    <col min="42" max="42" width="8.33203125" style="1" customWidth="1"/>
    <col min="43" max="44" width="8.33203125" style="6" bestFit="1" customWidth="1"/>
    <col min="45" max="45" width="2.1640625" customWidth="1"/>
    <col min="46" max="46" width="8.5" style="1" customWidth="1"/>
    <col min="47" max="47" width="8.83203125" style="2"/>
  </cols>
  <sheetData>
    <row r="1" spans="1:47" s="2" customFormat="1" ht="16" thickBot="1" x14ac:dyDescent="0.25">
      <c r="B1" s="17" t="s">
        <v>32</v>
      </c>
      <c r="C1" s="3"/>
      <c r="D1" s="18" t="s">
        <v>18</v>
      </c>
      <c r="E1" s="18"/>
      <c r="F1" s="18"/>
      <c r="G1" s="18"/>
      <c r="H1" s="18"/>
      <c r="I1" s="3"/>
      <c r="J1" s="18" t="s">
        <v>19</v>
      </c>
      <c r="K1" s="18"/>
      <c r="L1" s="18"/>
      <c r="M1" s="18"/>
      <c r="N1" s="18"/>
      <c r="O1" s="3"/>
      <c r="P1" s="18" t="s">
        <v>110</v>
      </c>
      <c r="Q1" s="18"/>
      <c r="R1" s="18"/>
      <c r="S1" s="18"/>
      <c r="T1" s="18"/>
      <c r="U1" s="3"/>
      <c r="V1" s="18" t="s">
        <v>111</v>
      </c>
      <c r="W1" s="18"/>
      <c r="X1" s="18"/>
      <c r="Y1" s="18"/>
      <c r="Z1" s="18"/>
      <c r="AA1" s="3"/>
      <c r="AB1" s="18" t="s">
        <v>20</v>
      </c>
      <c r="AC1" s="18"/>
      <c r="AD1" s="18"/>
      <c r="AE1" s="18"/>
      <c r="AF1" s="18"/>
      <c r="AG1" s="3"/>
      <c r="AH1" s="18" t="s">
        <v>21</v>
      </c>
      <c r="AI1" s="18"/>
      <c r="AJ1" s="18"/>
      <c r="AK1" s="18"/>
      <c r="AL1" s="18"/>
      <c r="AM1" s="3"/>
      <c r="AN1" s="18" t="s">
        <v>22</v>
      </c>
      <c r="AO1" s="18"/>
      <c r="AP1" s="18"/>
      <c r="AQ1" s="18"/>
      <c r="AR1" s="18"/>
      <c r="AT1" s="17" t="s">
        <v>39</v>
      </c>
      <c r="AU1" s="17" t="s">
        <v>40</v>
      </c>
    </row>
    <row r="2" spans="1:47" s="2" customFormat="1" ht="16" customHeight="1" thickBot="1" x14ac:dyDescent="0.25">
      <c r="B2" s="17"/>
      <c r="C2" s="3"/>
      <c r="D2" s="19" t="s">
        <v>23</v>
      </c>
      <c r="E2" s="19" t="s">
        <v>25</v>
      </c>
      <c r="F2" s="21" t="s">
        <v>26</v>
      </c>
      <c r="G2" s="21"/>
      <c r="H2" s="21"/>
      <c r="I2" s="3"/>
      <c r="J2" s="19" t="s">
        <v>23</v>
      </c>
      <c r="K2" s="19" t="s">
        <v>25</v>
      </c>
      <c r="L2" s="21" t="s">
        <v>26</v>
      </c>
      <c r="M2" s="21"/>
      <c r="N2" s="21"/>
      <c r="O2" s="3"/>
      <c r="P2" s="19" t="s">
        <v>23</v>
      </c>
      <c r="Q2" s="19" t="s">
        <v>25</v>
      </c>
      <c r="R2" s="21" t="s">
        <v>26</v>
      </c>
      <c r="S2" s="21"/>
      <c r="T2" s="21"/>
      <c r="U2" s="3"/>
      <c r="V2" s="19" t="s">
        <v>23</v>
      </c>
      <c r="W2" s="19" t="s">
        <v>25</v>
      </c>
      <c r="X2" s="21" t="s">
        <v>26</v>
      </c>
      <c r="Y2" s="21"/>
      <c r="Z2" s="21"/>
      <c r="AA2" s="3"/>
      <c r="AB2" s="19" t="s">
        <v>23</v>
      </c>
      <c r="AC2" s="19" t="s">
        <v>25</v>
      </c>
      <c r="AD2" s="21" t="s">
        <v>26</v>
      </c>
      <c r="AE2" s="21"/>
      <c r="AF2" s="21"/>
      <c r="AG2" s="3"/>
      <c r="AH2" s="19" t="s">
        <v>23</v>
      </c>
      <c r="AI2" s="19" t="s">
        <v>25</v>
      </c>
      <c r="AJ2" s="21" t="s">
        <v>26</v>
      </c>
      <c r="AK2" s="21"/>
      <c r="AL2" s="21"/>
      <c r="AM2" s="3"/>
      <c r="AN2" s="19" t="s">
        <v>23</v>
      </c>
      <c r="AO2" s="19" t="s">
        <v>25</v>
      </c>
      <c r="AP2" s="21" t="s">
        <v>26</v>
      </c>
      <c r="AQ2" s="21"/>
      <c r="AR2" s="21"/>
      <c r="AT2" s="17"/>
      <c r="AU2" s="17"/>
    </row>
    <row r="3" spans="1:47" s="2" customFormat="1" x14ac:dyDescent="0.2">
      <c r="A3" s="2" t="s">
        <v>24</v>
      </c>
      <c r="B3" s="17"/>
      <c r="C3" s="3"/>
      <c r="D3" s="20"/>
      <c r="E3" s="20"/>
      <c r="F3" s="3" t="s">
        <v>35</v>
      </c>
      <c r="G3" s="5" t="s">
        <v>33</v>
      </c>
      <c r="H3" s="5" t="s">
        <v>34</v>
      </c>
      <c r="I3" s="3"/>
      <c r="J3" s="20"/>
      <c r="K3" s="20"/>
      <c r="L3" s="3" t="s">
        <v>35</v>
      </c>
      <c r="M3" s="5" t="s">
        <v>33</v>
      </c>
      <c r="N3" s="5" t="s">
        <v>34</v>
      </c>
      <c r="O3" s="3"/>
      <c r="P3" s="20"/>
      <c r="Q3" s="20"/>
      <c r="R3" s="3" t="s">
        <v>35</v>
      </c>
      <c r="S3" s="5" t="s">
        <v>33</v>
      </c>
      <c r="T3" s="5" t="s">
        <v>34</v>
      </c>
      <c r="U3" s="3"/>
      <c r="V3" s="20"/>
      <c r="W3" s="20"/>
      <c r="X3" s="3" t="s">
        <v>35</v>
      </c>
      <c r="Y3" s="5" t="s">
        <v>33</v>
      </c>
      <c r="Z3" s="5" t="s">
        <v>34</v>
      </c>
      <c r="AA3" s="3"/>
      <c r="AB3" s="20"/>
      <c r="AC3" s="20"/>
      <c r="AD3" s="3" t="s">
        <v>35</v>
      </c>
      <c r="AE3" s="5" t="s">
        <v>33</v>
      </c>
      <c r="AF3" s="5" t="s">
        <v>34</v>
      </c>
      <c r="AG3" s="3"/>
      <c r="AH3" s="20"/>
      <c r="AI3" s="20"/>
      <c r="AJ3" s="3" t="s">
        <v>35</v>
      </c>
      <c r="AK3" s="5" t="s">
        <v>33</v>
      </c>
      <c r="AL3" s="5" t="s">
        <v>34</v>
      </c>
      <c r="AM3" s="3"/>
      <c r="AN3" s="20"/>
      <c r="AO3" s="20"/>
      <c r="AP3" s="3" t="s">
        <v>35</v>
      </c>
      <c r="AQ3" s="5" t="s">
        <v>33</v>
      </c>
      <c r="AR3" s="5" t="s">
        <v>34</v>
      </c>
      <c r="AT3" s="17"/>
      <c r="AU3" s="17"/>
    </row>
    <row r="4" spans="1:47" s="2" customFormat="1" ht="7.25" customHeight="1" x14ac:dyDescent="0.2">
      <c r="B4" s="3"/>
      <c r="C4" s="3"/>
      <c r="D4" s="3"/>
      <c r="E4" s="3"/>
      <c r="F4" s="3"/>
      <c r="G4" s="5"/>
      <c r="H4" s="5"/>
      <c r="I4" s="3"/>
      <c r="J4" s="3"/>
      <c r="K4" s="3"/>
      <c r="L4" s="3"/>
      <c r="M4" s="5"/>
      <c r="N4" s="5"/>
      <c r="O4" s="3"/>
      <c r="P4" s="3"/>
      <c r="Q4" s="3"/>
      <c r="R4" s="3"/>
      <c r="S4" s="5"/>
      <c r="T4" s="5"/>
      <c r="U4" s="3"/>
      <c r="V4" s="3"/>
      <c r="W4" s="3"/>
      <c r="X4" s="3"/>
      <c r="Y4" s="5"/>
      <c r="Z4" s="5"/>
      <c r="AA4" s="3"/>
      <c r="AB4" s="3"/>
      <c r="AC4" s="3"/>
      <c r="AD4" s="3"/>
      <c r="AE4" s="5"/>
      <c r="AF4" s="5"/>
      <c r="AG4" s="3"/>
      <c r="AH4" s="3"/>
      <c r="AI4" s="3"/>
      <c r="AJ4" s="3"/>
      <c r="AK4" s="5"/>
      <c r="AL4" s="5"/>
      <c r="AM4" s="3"/>
      <c r="AN4" s="3"/>
      <c r="AO4" s="3"/>
      <c r="AP4" s="3"/>
      <c r="AQ4" s="5"/>
      <c r="AR4" s="5"/>
      <c r="AT4" s="3"/>
    </row>
    <row r="5" spans="1:47" x14ac:dyDescent="0.2">
      <c r="A5" s="12" t="s">
        <v>57</v>
      </c>
      <c r="B5" s="13">
        <v>1</v>
      </c>
      <c r="D5" s="13">
        <v>8</v>
      </c>
      <c r="E5" s="15">
        <v>2.6388888888888889E-2</v>
      </c>
      <c r="F5" s="1">
        <f t="shared" ref="F5:F43" si="0">IF(COUNT(D$5:D$48)=0,"",IF(ISNUMBER(D5),1+POINTS_CAP_B-D5,0))</f>
        <v>33</v>
      </c>
      <c r="G5" s="6">
        <f t="shared" ref="G5:G7" si="1">IF(COUNT(D$5:D$48)=0,"",
   IFERROR(CHOOSE($B5,HDCP_V_B1,HDCP_V_B2,HDCP_V_B3,HDCP_V_B4),0))</f>
        <v>0</v>
      </c>
      <c r="H5" s="6">
        <f t="shared" ref="H5:H7" si="2">IF(COUNT(D$5:D$48)=0,"",MIN(F5+G5,POINTS_CAP_B))</f>
        <v>33</v>
      </c>
      <c r="J5" s="13">
        <v>20</v>
      </c>
      <c r="K5" s="14">
        <v>2.3368055555555555E-2</v>
      </c>
      <c r="L5" s="1">
        <f t="shared" ref="L5:L43" si="3">IF(COUNT(J$5:J$48)=0,"",IF(ISNUMBER(J5),1+POINTS_CAP_B-J5,0))</f>
        <v>21</v>
      </c>
      <c r="M5" s="6">
        <f t="shared" ref="M5:M7" si="4">IF(COUNT(J$5:J$48)=0,"",
   IFERROR(CHOOSE($B5,HDCP_V_B1,HDCP_V_B2,HDCP_V_B3,HDCP_V_B4),0))</f>
        <v>0</v>
      </c>
      <c r="N5" s="6">
        <f t="shared" ref="N5:N7" si="5">IF(COUNT(J$5:J$48)=0,"",MIN(L5+M5,POINTS_CAP_B))</f>
        <v>21</v>
      </c>
      <c r="P5" s="13">
        <v>37</v>
      </c>
      <c r="Q5" s="14">
        <v>6.2476851851851853E-2</v>
      </c>
      <c r="R5" s="1">
        <f t="shared" ref="R5:R43" si="6">IF(COUNT(P$5:P$48)=0,"",IF(ISNUMBER(P5),1+POINTS_CAP_B-P5,0))</f>
        <v>4</v>
      </c>
      <c r="S5" s="6">
        <f t="shared" ref="S5:S7" si="7">IF(COUNT(P$5:P$48)=0,"",
   IFERROR(CHOOSE($B5,HDCP_V_B1,HDCP_V_B2,HDCP_V_B3,HDCP_V_B4),0))</f>
        <v>0</v>
      </c>
      <c r="T5" s="6">
        <f t="shared" ref="T5:T7" si="8">IF(COUNT(P$5:P$48)=0,"",MIN(R5+S5,POINTS_CAP_B))</f>
        <v>4</v>
      </c>
      <c r="V5" s="13">
        <v>7</v>
      </c>
      <c r="W5" s="14">
        <v>2.3587962962962963E-2</v>
      </c>
      <c r="X5" s="1">
        <f t="shared" ref="X5:X42" si="9">IF(COUNT(V$5:V$48)=0,"",IF(ISNUMBER(V5),1+POINTS_CAP_B-V5,0))</f>
        <v>34</v>
      </c>
      <c r="Y5" s="6">
        <f t="shared" ref="Y5:Y42" si="10">IF(COUNT(V$5:V$48)=0,"",
   IFERROR(CHOOSE($B5,HDCP_V_B1,HDCP_V_B2,HDCP_V_B3,HDCP_V_B4),0))</f>
        <v>0</v>
      </c>
      <c r="Z5" s="6">
        <f t="shared" ref="Z5:Z42" si="11">IF(COUNT(V$5:V$48)=0,"",MIN(X5+Y5,POINTS_CAP_B))</f>
        <v>34</v>
      </c>
      <c r="AB5" s="13">
        <v>36</v>
      </c>
      <c r="AC5" s="14">
        <v>8.0509259259259253E-2</v>
      </c>
      <c r="AD5" s="1">
        <f t="shared" ref="AD5:AD42" si="12">IF(COUNT(AB$5:AB$48)=0,"",IF(ISNUMBER(AB5),1+POINTS_CAP_B-AB5,0))</f>
        <v>5</v>
      </c>
      <c r="AE5" s="6">
        <f t="shared" ref="AE5:AE7" si="13">IF(COUNT(AB$5:AB$48)=0,"",
   IFERROR(CHOOSE($B5,HDCP_V_B1,HDCP_V_B2,HDCP_V_B3,HDCP_V_B4),0))</f>
        <v>0</v>
      </c>
      <c r="AF5" s="6">
        <f t="shared" ref="AF5:AF7" si="14">IF(COUNT(AB$5:AB$48)=0,"",MIN(AD5+AE5,POINTS_CAP_B))</f>
        <v>5</v>
      </c>
      <c r="AH5" s="13"/>
      <c r="AI5" s="14"/>
      <c r="AJ5" s="1" t="str">
        <f t="shared" ref="AJ5:AJ42" si="15">IF(COUNT(AH$5:AH$48)=0,"",IF(ISNUMBER(AH5),1+POINTS_CAP_B-AH5,0))</f>
        <v/>
      </c>
      <c r="AK5" s="6" t="str">
        <f t="shared" ref="AK5:AK7" si="16">IF(COUNT(AH$5:AH$48)=0,"",
   IFERROR(CHOOSE($B5,HDCP_V_B1,HDCP_V_B2,HDCP_V_B3,HDCP_V_B4),0))</f>
        <v/>
      </c>
      <c r="AL5" s="6" t="str">
        <f t="shared" ref="AL5:AL7" si="17">IF(COUNT(AH$5:AH$48)=0,"",MIN(AJ5+AK5,POINTS_CAP_B))</f>
        <v/>
      </c>
      <c r="AN5" s="13"/>
      <c r="AO5" s="14"/>
      <c r="AP5" s="1" t="str">
        <f t="shared" ref="AP5:AP42" si="18">IF(COUNT(AN$5:AN$48)=0,"",IF(ISNUMBER(AN5),1+POINTS_CAP_B-AN5,0))</f>
        <v/>
      </c>
      <c r="AQ5" s="6" t="str">
        <f t="shared" ref="AQ5:AQ7" si="19">IF(COUNT(AN$5:AN$48)=0,"",
   IFERROR(CHOOSE($B5,HDCP_V_B1,HDCP_V_B2,HDCP_V_B3,HDCP_V_B4),0))</f>
        <v/>
      </c>
      <c r="AR5" s="6" t="str">
        <f t="shared" ref="AR5:AR7" si="20">IF(COUNT(AN$5:AN$48)=0,"",MIN(AP5+AQ5,POINTS_CAP_B))</f>
        <v/>
      </c>
      <c r="AT5" s="1">
        <f>IF(F5="","",SUM(F5,L5,R5,X5,AD5,AJ5,AP5))</f>
        <v>97</v>
      </c>
      <c r="AU5" s="3">
        <f>IF(H5="","",SUM(H5,N5,T5,Z5,AF5,AL5,AR5))</f>
        <v>97</v>
      </c>
    </row>
    <row r="6" spans="1:47" x14ac:dyDescent="0.2">
      <c r="A6" s="12" t="s">
        <v>58</v>
      </c>
      <c r="B6" s="13">
        <v>1</v>
      </c>
      <c r="D6" s="13">
        <v>1</v>
      </c>
      <c r="E6" s="15">
        <v>2.5000000000000001E-2</v>
      </c>
      <c r="F6" s="1">
        <f t="shared" si="0"/>
        <v>40</v>
      </c>
      <c r="G6" s="6">
        <f t="shared" si="1"/>
        <v>0</v>
      </c>
      <c r="H6" s="6">
        <f t="shared" si="2"/>
        <v>40</v>
      </c>
      <c r="J6" s="13">
        <v>2</v>
      </c>
      <c r="K6" s="14">
        <v>2.1099537037037038E-2</v>
      </c>
      <c r="L6" s="1">
        <f t="shared" si="3"/>
        <v>39</v>
      </c>
      <c r="M6" s="6">
        <f t="shared" si="4"/>
        <v>0</v>
      </c>
      <c r="N6" s="6">
        <f t="shared" si="5"/>
        <v>39</v>
      </c>
      <c r="P6" s="13">
        <v>2</v>
      </c>
      <c r="Q6" s="14">
        <v>3.4108796296296297E-2</v>
      </c>
      <c r="R6" s="1">
        <f t="shared" si="6"/>
        <v>39</v>
      </c>
      <c r="S6" s="6">
        <f t="shared" si="7"/>
        <v>0</v>
      </c>
      <c r="T6" s="6">
        <f t="shared" si="8"/>
        <v>39</v>
      </c>
      <c r="V6" s="13">
        <v>2</v>
      </c>
      <c r="W6" s="14">
        <v>2.1990740740740741E-2</v>
      </c>
      <c r="X6" s="1">
        <f t="shared" si="9"/>
        <v>39</v>
      </c>
      <c r="Y6" s="6">
        <f t="shared" si="10"/>
        <v>0</v>
      </c>
      <c r="Z6" s="6">
        <f t="shared" si="11"/>
        <v>39</v>
      </c>
      <c r="AB6" s="13">
        <v>2</v>
      </c>
      <c r="AC6" s="14">
        <v>4.6238425925925926E-2</v>
      </c>
      <c r="AD6" s="1">
        <f t="shared" si="12"/>
        <v>39</v>
      </c>
      <c r="AE6" s="6">
        <f t="shared" si="13"/>
        <v>0</v>
      </c>
      <c r="AF6" s="6">
        <f t="shared" si="14"/>
        <v>39</v>
      </c>
      <c r="AH6" s="13"/>
      <c r="AI6" s="14"/>
      <c r="AJ6" s="1" t="str">
        <f t="shared" si="15"/>
        <v/>
      </c>
      <c r="AK6" s="6" t="str">
        <f t="shared" si="16"/>
        <v/>
      </c>
      <c r="AL6" s="6" t="str">
        <f t="shared" si="17"/>
        <v/>
      </c>
      <c r="AN6" s="13"/>
      <c r="AO6" s="14"/>
      <c r="AP6" s="1" t="str">
        <f t="shared" si="18"/>
        <v/>
      </c>
      <c r="AQ6" s="6" t="str">
        <f t="shared" si="19"/>
        <v/>
      </c>
      <c r="AR6" s="6" t="str">
        <f t="shared" si="20"/>
        <v/>
      </c>
      <c r="AT6" s="1">
        <f t="shared" ref="AT6:AT44" si="21">IF(F6="","",SUM(F6,L6,R6,X6,AD6,AJ6,AP6))</f>
        <v>196</v>
      </c>
      <c r="AU6" s="3">
        <f t="shared" ref="AU6:AU44" si="22">IF(H6="","",SUM(H6,N6,T6,Z6,AF6,AL6,AR6))</f>
        <v>196</v>
      </c>
    </row>
    <row r="7" spans="1:47" x14ac:dyDescent="0.2">
      <c r="A7" s="12" t="s">
        <v>2</v>
      </c>
      <c r="B7" s="13">
        <v>1</v>
      </c>
      <c r="D7" s="13">
        <v>16</v>
      </c>
      <c r="E7" s="15">
        <v>2.6863425925925926E-2</v>
      </c>
      <c r="F7" s="1">
        <f t="shared" si="0"/>
        <v>25</v>
      </c>
      <c r="G7" s="6">
        <f t="shared" si="1"/>
        <v>0</v>
      </c>
      <c r="H7" s="6">
        <f t="shared" si="2"/>
        <v>25</v>
      </c>
      <c r="J7" s="13">
        <v>12</v>
      </c>
      <c r="K7" s="14">
        <v>2.2511574074074073E-2</v>
      </c>
      <c r="L7" s="1">
        <f t="shared" si="3"/>
        <v>29</v>
      </c>
      <c r="M7" s="6">
        <f t="shared" si="4"/>
        <v>0</v>
      </c>
      <c r="N7" s="6">
        <f t="shared" si="5"/>
        <v>29</v>
      </c>
      <c r="P7" s="13">
        <v>15</v>
      </c>
      <c r="Q7" s="14">
        <v>3.7499999999999999E-2</v>
      </c>
      <c r="R7" s="1">
        <f t="shared" si="6"/>
        <v>26</v>
      </c>
      <c r="S7" s="6">
        <f t="shared" si="7"/>
        <v>0</v>
      </c>
      <c r="T7" s="6">
        <f t="shared" si="8"/>
        <v>26</v>
      </c>
      <c r="V7" s="13">
        <v>5</v>
      </c>
      <c r="W7" s="14">
        <v>2.2870370370370371E-2</v>
      </c>
      <c r="X7" s="1">
        <f t="shared" si="9"/>
        <v>36</v>
      </c>
      <c r="Y7" s="6">
        <f t="shared" si="10"/>
        <v>0</v>
      </c>
      <c r="Z7" s="6">
        <f t="shared" si="11"/>
        <v>36</v>
      </c>
      <c r="AB7" s="13">
        <v>12</v>
      </c>
      <c r="AC7" s="14">
        <v>5.1018518518518519E-2</v>
      </c>
      <c r="AD7" s="1">
        <f t="shared" si="12"/>
        <v>29</v>
      </c>
      <c r="AE7" s="6">
        <f t="shared" si="13"/>
        <v>0</v>
      </c>
      <c r="AF7" s="6">
        <f t="shared" si="14"/>
        <v>29</v>
      </c>
      <c r="AH7" s="13"/>
      <c r="AI7" s="14"/>
      <c r="AJ7" s="1" t="str">
        <f t="shared" si="15"/>
        <v/>
      </c>
      <c r="AK7" s="6" t="str">
        <f t="shared" si="16"/>
        <v/>
      </c>
      <c r="AL7" s="6" t="str">
        <f t="shared" si="17"/>
        <v/>
      </c>
      <c r="AN7" s="13"/>
      <c r="AO7" s="14"/>
      <c r="AP7" s="1" t="str">
        <f t="shared" si="18"/>
        <v/>
      </c>
      <c r="AQ7" s="6" t="str">
        <f t="shared" si="19"/>
        <v/>
      </c>
      <c r="AR7" s="6" t="str">
        <f t="shared" si="20"/>
        <v/>
      </c>
      <c r="AT7" s="1">
        <f t="shared" si="21"/>
        <v>145</v>
      </c>
      <c r="AU7" s="3">
        <f t="shared" si="22"/>
        <v>145</v>
      </c>
    </row>
    <row r="8" spans="1:47" x14ac:dyDescent="0.2">
      <c r="A8" s="12" t="s">
        <v>59</v>
      </c>
      <c r="B8" s="13">
        <v>1</v>
      </c>
      <c r="D8" s="13">
        <v>6</v>
      </c>
      <c r="E8" s="15">
        <v>2.6064814814814815E-2</v>
      </c>
      <c r="F8" s="1">
        <f t="shared" si="0"/>
        <v>35</v>
      </c>
      <c r="G8" s="6">
        <f t="shared" ref="G8:G38" si="23">IF(COUNT(D$5:D$48)=0,"",
   IFERROR(CHOOSE($B8,HDCP_V_B1,HDCP_V_B2,HDCP_V_B3,HDCP_V_B4),0))</f>
        <v>0</v>
      </c>
      <c r="H8" s="6">
        <f t="shared" ref="H8:H38" si="24">IF(COUNT(D$5:D$48)=0,"",MIN(F8+G8,POINTS_CAP_B))</f>
        <v>35</v>
      </c>
      <c r="J8" s="13">
        <v>6</v>
      </c>
      <c r="K8" s="14">
        <v>2.1759259259259259E-2</v>
      </c>
      <c r="L8" s="1">
        <f t="shared" si="3"/>
        <v>35</v>
      </c>
      <c r="M8" s="6">
        <f t="shared" ref="M8:M38" si="25">IF(COUNT(J$5:J$48)=0,"",
   IFERROR(CHOOSE($B8,HDCP_V_B1,HDCP_V_B2,HDCP_V_B3,HDCP_V_B4),0))</f>
        <v>0</v>
      </c>
      <c r="N8" s="6">
        <f t="shared" ref="N8:N38" si="26">IF(COUNT(J$5:J$48)=0,"",MIN(L8+M8,POINTS_CAP_B))</f>
        <v>35</v>
      </c>
      <c r="P8" s="13">
        <v>12</v>
      </c>
      <c r="Q8" s="14">
        <v>3.6770833333333336E-2</v>
      </c>
      <c r="R8" s="1">
        <f t="shared" si="6"/>
        <v>29</v>
      </c>
      <c r="S8" s="6">
        <f t="shared" ref="S8:S38" si="27">IF(COUNT(P$5:P$48)=0,"",
   IFERROR(CHOOSE($B8,HDCP_V_B1,HDCP_V_B2,HDCP_V_B3,HDCP_V_B4),0))</f>
        <v>0</v>
      </c>
      <c r="T8" s="6">
        <f t="shared" ref="T8:T38" si="28">IF(COUNT(P$5:P$48)=0,"",MIN(R8+S8,POINTS_CAP_B))</f>
        <v>29</v>
      </c>
      <c r="V8" s="13">
        <v>12</v>
      </c>
      <c r="W8" s="14">
        <v>2.4097222222222221E-2</v>
      </c>
      <c r="X8" s="1">
        <f t="shared" si="9"/>
        <v>29</v>
      </c>
      <c r="Y8" s="6">
        <f t="shared" si="10"/>
        <v>0</v>
      </c>
      <c r="Z8" s="6">
        <f t="shared" si="11"/>
        <v>29</v>
      </c>
      <c r="AB8" s="13">
        <v>10</v>
      </c>
      <c r="AC8" s="14" t="s">
        <v>120</v>
      </c>
      <c r="AD8" s="1">
        <f t="shared" si="12"/>
        <v>31</v>
      </c>
      <c r="AE8" s="6">
        <f t="shared" ref="AE8:AE38" si="29">IF(COUNT(AB$5:AB$48)=0,"",
   IFERROR(CHOOSE($B8,HDCP_V_B1,HDCP_V_B2,HDCP_V_B3,HDCP_V_B4),0))</f>
        <v>0</v>
      </c>
      <c r="AF8" s="6">
        <f t="shared" ref="AF8:AF38" si="30">IF(COUNT(AB$5:AB$48)=0,"",MIN(AD8+AE8,POINTS_CAP_B))</f>
        <v>31</v>
      </c>
      <c r="AH8" s="13"/>
      <c r="AI8" s="14"/>
      <c r="AJ8" s="1" t="str">
        <f t="shared" si="15"/>
        <v/>
      </c>
      <c r="AK8" s="6" t="str">
        <f t="shared" ref="AK8:AK38" si="31">IF(COUNT(AH$5:AH$48)=0,"",
   IFERROR(CHOOSE($B8,HDCP_V_B1,HDCP_V_B2,HDCP_V_B3,HDCP_V_B4),0))</f>
        <v/>
      </c>
      <c r="AL8" s="6" t="str">
        <f t="shared" ref="AL8:AL38" si="32">IF(COUNT(AH$5:AH$48)=0,"",MIN(AJ8+AK8,POINTS_CAP_B))</f>
        <v/>
      </c>
      <c r="AN8" s="13"/>
      <c r="AO8" s="14"/>
      <c r="AP8" s="1" t="str">
        <f t="shared" si="18"/>
        <v/>
      </c>
      <c r="AQ8" s="6" t="str">
        <f t="shared" ref="AQ8:AQ38" si="33">IF(COUNT(AN$5:AN$48)=0,"",
   IFERROR(CHOOSE($B8,HDCP_V_B1,HDCP_V_B2,HDCP_V_B3,HDCP_V_B4),0))</f>
        <v/>
      </c>
      <c r="AR8" s="6" t="str">
        <f t="shared" ref="AR8:AR38" si="34">IF(COUNT(AN$5:AN$48)=0,"",MIN(AP8+AQ8,POINTS_CAP_B))</f>
        <v/>
      </c>
      <c r="AT8" s="1">
        <f t="shared" si="21"/>
        <v>159</v>
      </c>
      <c r="AU8" s="3">
        <f t="shared" si="22"/>
        <v>159</v>
      </c>
    </row>
    <row r="9" spans="1:47" x14ac:dyDescent="0.2">
      <c r="A9" s="12" t="s">
        <v>3</v>
      </c>
      <c r="B9" s="13">
        <v>1</v>
      </c>
      <c r="D9" s="13">
        <v>15</v>
      </c>
      <c r="E9" s="15">
        <v>2.6828703703703705E-2</v>
      </c>
      <c r="F9" s="1">
        <f t="shared" si="0"/>
        <v>26</v>
      </c>
      <c r="G9" s="6">
        <f t="shared" si="23"/>
        <v>0</v>
      </c>
      <c r="H9" s="6">
        <f t="shared" si="24"/>
        <v>26</v>
      </c>
      <c r="J9" s="13">
        <v>8</v>
      </c>
      <c r="K9" s="14">
        <v>2.2268518518518517E-2</v>
      </c>
      <c r="L9" s="1">
        <f t="shared" si="3"/>
        <v>33</v>
      </c>
      <c r="M9" s="6">
        <f t="shared" si="25"/>
        <v>0</v>
      </c>
      <c r="N9" s="6">
        <f t="shared" si="26"/>
        <v>33</v>
      </c>
      <c r="P9" s="13">
        <v>14</v>
      </c>
      <c r="Q9" s="14">
        <v>3.7465277777777778E-2</v>
      </c>
      <c r="R9" s="1">
        <f t="shared" si="6"/>
        <v>27</v>
      </c>
      <c r="S9" s="6">
        <f t="shared" si="27"/>
        <v>0</v>
      </c>
      <c r="T9" s="6">
        <f t="shared" si="28"/>
        <v>27</v>
      </c>
      <c r="V9" s="13">
        <v>8</v>
      </c>
      <c r="W9" s="14">
        <v>2.3622685185185184E-2</v>
      </c>
      <c r="X9" s="1">
        <f t="shared" si="9"/>
        <v>33</v>
      </c>
      <c r="Y9" s="6">
        <f t="shared" si="10"/>
        <v>0</v>
      </c>
      <c r="Z9" s="6">
        <f t="shared" si="11"/>
        <v>33</v>
      </c>
      <c r="AB9" s="13">
        <v>20</v>
      </c>
      <c r="AC9" s="14">
        <v>5.4386574074074073E-2</v>
      </c>
      <c r="AD9" s="1">
        <f t="shared" si="12"/>
        <v>21</v>
      </c>
      <c r="AE9" s="6">
        <f t="shared" si="29"/>
        <v>0</v>
      </c>
      <c r="AF9" s="6">
        <f t="shared" si="30"/>
        <v>21</v>
      </c>
      <c r="AH9" s="13"/>
      <c r="AI9" s="14"/>
      <c r="AJ9" s="1" t="str">
        <f t="shared" si="15"/>
        <v/>
      </c>
      <c r="AK9" s="6" t="str">
        <f t="shared" si="31"/>
        <v/>
      </c>
      <c r="AL9" s="6" t="str">
        <f t="shared" si="32"/>
        <v/>
      </c>
      <c r="AN9" s="13"/>
      <c r="AO9" s="14"/>
      <c r="AP9" s="1" t="str">
        <f t="shared" si="18"/>
        <v/>
      </c>
      <c r="AQ9" s="6" t="str">
        <f t="shared" si="33"/>
        <v/>
      </c>
      <c r="AR9" s="6" t="str">
        <f t="shared" si="34"/>
        <v/>
      </c>
      <c r="AT9" s="1">
        <f t="shared" si="21"/>
        <v>140</v>
      </c>
      <c r="AU9" s="3">
        <f t="shared" si="22"/>
        <v>140</v>
      </c>
    </row>
    <row r="10" spans="1:47" x14ac:dyDescent="0.2">
      <c r="A10" s="12" t="s">
        <v>60</v>
      </c>
      <c r="B10" s="13">
        <v>1</v>
      </c>
      <c r="D10" s="13">
        <v>2</v>
      </c>
      <c r="E10" s="15">
        <v>2.5104166666666667E-2</v>
      </c>
      <c r="F10" s="1">
        <f t="shared" si="0"/>
        <v>39</v>
      </c>
      <c r="G10" s="6">
        <f t="shared" si="23"/>
        <v>0</v>
      </c>
      <c r="H10" s="6">
        <f t="shared" si="24"/>
        <v>39</v>
      </c>
      <c r="J10" s="13">
        <v>1</v>
      </c>
      <c r="K10" s="14">
        <v>2.1006944444444446E-2</v>
      </c>
      <c r="L10" s="1">
        <f t="shared" si="3"/>
        <v>40</v>
      </c>
      <c r="M10" s="6">
        <f t="shared" si="25"/>
        <v>0</v>
      </c>
      <c r="N10" s="6">
        <f t="shared" si="26"/>
        <v>40</v>
      </c>
      <c r="P10" s="13">
        <v>1</v>
      </c>
      <c r="Q10" s="14">
        <v>3.3321759259259259E-2</v>
      </c>
      <c r="R10" s="1">
        <f t="shared" si="6"/>
        <v>40</v>
      </c>
      <c r="S10" s="6">
        <f t="shared" si="27"/>
        <v>0</v>
      </c>
      <c r="T10" s="6">
        <f t="shared" si="28"/>
        <v>40</v>
      </c>
      <c r="V10" s="13">
        <v>1</v>
      </c>
      <c r="W10" s="14">
        <v>2.1724537037037039E-2</v>
      </c>
      <c r="X10" s="1">
        <f t="shared" si="9"/>
        <v>40</v>
      </c>
      <c r="Y10" s="6">
        <f t="shared" si="10"/>
        <v>0</v>
      </c>
      <c r="Z10" s="6">
        <f t="shared" si="11"/>
        <v>40</v>
      </c>
      <c r="AB10" s="13">
        <v>1</v>
      </c>
      <c r="AC10" s="14">
        <v>4.5231481481481484E-2</v>
      </c>
      <c r="AD10" s="1">
        <f t="shared" si="12"/>
        <v>40</v>
      </c>
      <c r="AE10" s="6">
        <f t="shared" si="29"/>
        <v>0</v>
      </c>
      <c r="AF10" s="6">
        <f t="shared" si="30"/>
        <v>40</v>
      </c>
      <c r="AH10" s="13"/>
      <c r="AI10" s="14"/>
      <c r="AJ10" s="1" t="str">
        <f t="shared" si="15"/>
        <v/>
      </c>
      <c r="AK10" s="6" t="str">
        <f t="shared" si="31"/>
        <v/>
      </c>
      <c r="AL10" s="6" t="str">
        <f t="shared" si="32"/>
        <v/>
      </c>
      <c r="AN10" s="13"/>
      <c r="AO10" s="14"/>
      <c r="AP10" s="1" t="str">
        <f t="shared" si="18"/>
        <v/>
      </c>
      <c r="AQ10" s="6" t="str">
        <f t="shared" si="33"/>
        <v/>
      </c>
      <c r="AR10" s="6" t="str">
        <f t="shared" si="34"/>
        <v/>
      </c>
      <c r="AT10" s="1">
        <f t="shared" si="21"/>
        <v>199</v>
      </c>
      <c r="AU10" s="3">
        <f t="shared" si="22"/>
        <v>199</v>
      </c>
    </row>
    <row r="11" spans="1:47" x14ac:dyDescent="0.2">
      <c r="A11" s="12" t="s">
        <v>61</v>
      </c>
      <c r="B11" s="13">
        <v>1</v>
      </c>
      <c r="D11" s="13">
        <v>7</v>
      </c>
      <c r="E11" s="15">
        <v>2.6249999999999999E-2</v>
      </c>
      <c r="F11" s="1">
        <f t="shared" si="0"/>
        <v>34</v>
      </c>
      <c r="G11" s="6">
        <f t="shared" si="23"/>
        <v>0</v>
      </c>
      <c r="H11" s="6">
        <f t="shared" si="24"/>
        <v>34</v>
      </c>
      <c r="J11" s="13">
        <v>10</v>
      </c>
      <c r="K11" s="14">
        <v>2.2314814814814815E-2</v>
      </c>
      <c r="L11" s="1">
        <f t="shared" si="3"/>
        <v>31</v>
      </c>
      <c r="M11" s="6">
        <f t="shared" si="25"/>
        <v>0</v>
      </c>
      <c r="N11" s="6">
        <f t="shared" si="26"/>
        <v>31</v>
      </c>
      <c r="P11" s="13">
        <v>9</v>
      </c>
      <c r="Q11" s="14">
        <v>3.5983796296296298E-2</v>
      </c>
      <c r="R11" s="1">
        <f t="shared" si="6"/>
        <v>32</v>
      </c>
      <c r="S11" s="6">
        <f t="shared" si="27"/>
        <v>0</v>
      </c>
      <c r="T11" s="6">
        <f t="shared" si="28"/>
        <v>32</v>
      </c>
      <c r="V11" s="13">
        <v>10</v>
      </c>
      <c r="W11" s="14">
        <v>2.3969907407407409E-2</v>
      </c>
      <c r="X11" s="1">
        <f t="shared" si="9"/>
        <v>31</v>
      </c>
      <c r="Y11" s="6">
        <f t="shared" si="10"/>
        <v>0</v>
      </c>
      <c r="Z11" s="6">
        <f t="shared" si="11"/>
        <v>31</v>
      </c>
      <c r="AB11" s="13">
        <v>5</v>
      </c>
      <c r="AC11" s="14">
        <v>4.9085648148148149E-2</v>
      </c>
      <c r="AD11" s="1">
        <f t="shared" si="12"/>
        <v>36</v>
      </c>
      <c r="AE11" s="6">
        <f t="shared" si="29"/>
        <v>0</v>
      </c>
      <c r="AF11" s="6">
        <f t="shared" si="30"/>
        <v>36</v>
      </c>
      <c r="AH11" s="13"/>
      <c r="AI11" s="14"/>
      <c r="AJ11" s="1" t="str">
        <f t="shared" si="15"/>
        <v/>
      </c>
      <c r="AK11" s="6" t="str">
        <f t="shared" si="31"/>
        <v/>
      </c>
      <c r="AL11" s="6" t="str">
        <f t="shared" si="32"/>
        <v/>
      </c>
      <c r="AN11" s="13"/>
      <c r="AO11" s="14"/>
      <c r="AP11" s="1" t="str">
        <f t="shared" si="18"/>
        <v/>
      </c>
      <c r="AQ11" s="6" t="str">
        <f t="shared" si="33"/>
        <v/>
      </c>
      <c r="AR11" s="6" t="str">
        <f t="shared" si="34"/>
        <v/>
      </c>
      <c r="AT11" s="1">
        <f t="shared" si="21"/>
        <v>164</v>
      </c>
      <c r="AU11" s="3">
        <f t="shared" si="22"/>
        <v>164</v>
      </c>
    </row>
    <row r="12" spans="1:47" x14ac:dyDescent="0.2">
      <c r="A12" s="12" t="s">
        <v>62</v>
      </c>
      <c r="B12" s="13">
        <v>1</v>
      </c>
      <c r="D12" s="13">
        <v>5</v>
      </c>
      <c r="E12" s="15">
        <v>2.539351851851852E-2</v>
      </c>
      <c r="F12" s="1">
        <f t="shared" si="0"/>
        <v>36</v>
      </c>
      <c r="G12" s="6">
        <f t="shared" si="23"/>
        <v>0</v>
      </c>
      <c r="H12" s="6">
        <f t="shared" si="24"/>
        <v>36</v>
      </c>
      <c r="J12" s="13">
        <v>4</v>
      </c>
      <c r="K12" s="14">
        <v>2.1377314814814814E-2</v>
      </c>
      <c r="L12" s="1">
        <f t="shared" si="3"/>
        <v>37</v>
      </c>
      <c r="M12" s="6">
        <f t="shared" si="25"/>
        <v>0</v>
      </c>
      <c r="N12" s="6">
        <f t="shared" si="26"/>
        <v>37</v>
      </c>
      <c r="P12" s="13">
        <v>4</v>
      </c>
      <c r="Q12" s="14">
        <v>3.5069444444444445E-2</v>
      </c>
      <c r="R12" s="1">
        <f t="shared" si="6"/>
        <v>37</v>
      </c>
      <c r="S12" s="6">
        <f t="shared" si="27"/>
        <v>0</v>
      </c>
      <c r="T12" s="6">
        <f t="shared" si="28"/>
        <v>37</v>
      </c>
      <c r="V12" s="13">
        <v>4</v>
      </c>
      <c r="W12" s="14">
        <v>2.2870370370370371E-2</v>
      </c>
      <c r="X12" s="1">
        <f t="shared" si="9"/>
        <v>37</v>
      </c>
      <c r="Y12" s="6">
        <f t="shared" si="10"/>
        <v>0</v>
      </c>
      <c r="Z12" s="6">
        <f t="shared" si="11"/>
        <v>37</v>
      </c>
      <c r="AB12" s="13">
        <v>3</v>
      </c>
      <c r="AC12" s="14">
        <v>4.7256944444444442E-2</v>
      </c>
      <c r="AD12" s="1">
        <f t="shared" si="12"/>
        <v>38</v>
      </c>
      <c r="AE12" s="6">
        <f t="shared" si="29"/>
        <v>0</v>
      </c>
      <c r="AF12" s="6">
        <f t="shared" si="30"/>
        <v>38</v>
      </c>
      <c r="AH12" s="13"/>
      <c r="AI12" s="14"/>
      <c r="AJ12" s="1" t="str">
        <f t="shared" si="15"/>
        <v/>
      </c>
      <c r="AK12" s="6" t="str">
        <f t="shared" si="31"/>
        <v/>
      </c>
      <c r="AL12" s="6" t="str">
        <f t="shared" si="32"/>
        <v/>
      </c>
      <c r="AN12" s="13"/>
      <c r="AO12" s="14"/>
      <c r="AP12" s="1" t="str">
        <f t="shared" si="18"/>
        <v/>
      </c>
      <c r="AQ12" s="6" t="str">
        <f t="shared" si="33"/>
        <v/>
      </c>
      <c r="AR12" s="6" t="str">
        <f t="shared" si="34"/>
        <v/>
      </c>
      <c r="AT12" s="1">
        <f t="shared" si="21"/>
        <v>185</v>
      </c>
      <c r="AU12" s="3">
        <f t="shared" si="22"/>
        <v>185</v>
      </c>
    </row>
    <row r="13" spans="1:47" x14ac:dyDescent="0.2">
      <c r="A13" s="12" t="s">
        <v>63</v>
      </c>
      <c r="B13" s="13">
        <v>2</v>
      </c>
      <c r="D13" s="13">
        <v>17</v>
      </c>
      <c r="E13" s="15">
        <v>2.6863425925925926E-2</v>
      </c>
      <c r="F13" s="1">
        <f t="shared" si="0"/>
        <v>24</v>
      </c>
      <c r="G13" s="6">
        <f t="shared" si="23"/>
        <v>8</v>
      </c>
      <c r="H13" s="6">
        <f t="shared" si="24"/>
        <v>32</v>
      </c>
      <c r="J13" s="13">
        <v>21</v>
      </c>
      <c r="K13" s="14">
        <v>2.3715277777777776E-2</v>
      </c>
      <c r="L13" s="1">
        <f t="shared" si="3"/>
        <v>20</v>
      </c>
      <c r="M13" s="6">
        <f t="shared" si="25"/>
        <v>8</v>
      </c>
      <c r="N13" s="6">
        <f t="shared" si="26"/>
        <v>28</v>
      </c>
      <c r="P13" s="13">
        <v>20</v>
      </c>
      <c r="Q13" s="14">
        <v>3.8310185185185183E-2</v>
      </c>
      <c r="R13" s="1">
        <f t="shared" si="6"/>
        <v>21</v>
      </c>
      <c r="S13" s="6">
        <f t="shared" si="27"/>
        <v>8</v>
      </c>
      <c r="T13" s="6">
        <f t="shared" si="28"/>
        <v>29</v>
      </c>
      <c r="V13" s="13">
        <v>19</v>
      </c>
      <c r="W13" s="14">
        <v>2.480324074074074E-2</v>
      </c>
      <c r="X13" s="1">
        <f t="shared" si="9"/>
        <v>22</v>
      </c>
      <c r="Y13" s="6">
        <f t="shared" si="10"/>
        <v>8</v>
      </c>
      <c r="Z13" s="6">
        <f t="shared" si="11"/>
        <v>30</v>
      </c>
      <c r="AB13" s="13">
        <v>27</v>
      </c>
      <c r="AC13" s="14">
        <v>5.9502314814814813E-2</v>
      </c>
      <c r="AD13" s="1">
        <f t="shared" si="12"/>
        <v>14</v>
      </c>
      <c r="AE13" s="6">
        <f t="shared" si="29"/>
        <v>8</v>
      </c>
      <c r="AF13" s="6">
        <f t="shared" si="30"/>
        <v>22</v>
      </c>
      <c r="AH13" s="13"/>
      <c r="AI13" s="14"/>
      <c r="AJ13" s="1" t="str">
        <f t="shared" si="15"/>
        <v/>
      </c>
      <c r="AK13" s="6" t="str">
        <f t="shared" si="31"/>
        <v/>
      </c>
      <c r="AL13" s="6" t="str">
        <f t="shared" si="32"/>
        <v/>
      </c>
      <c r="AN13" s="13"/>
      <c r="AO13" s="14"/>
      <c r="AP13" s="1" t="str">
        <f t="shared" si="18"/>
        <v/>
      </c>
      <c r="AQ13" s="6" t="str">
        <f t="shared" si="33"/>
        <v/>
      </c>
      <c r="AR13" s="6" t="str">
        <f t="shared" si="34"/>
        <v/>
      </c>
      <c r="AT13" s="1">
        <f t="shared" si="21"/>
        <v>101</v>
      </c>
      <c r="AU13" s="3">
        <f t="shared" si="22"/>
        <v>141</v>
      </c>
    </row>
    <row r="14" spans="1:47" x14ac:dyDescent="0.2">
      <c r="A14" s="12" t="s">
        <v>64</v>
      </c>
      <c r="B14" s="13">
        <v>2</v>
      </c>
      <c r="D14" s="13">
        <v>12</v>
      </c>
      <c r="E14" s="15">
        <v>2.6770833333333334E-2</v>
      </c>
      <c r="F14" s="1">
        <f t="shared" si="0"/>
        <v>29</v>
      </c>
      <c r="G14" s="6">
        <f t="shared" si="23"/>
        <v>8</v>
      </c>
      <c r="H14" s="6">
        <f t="shared" si="24"/>
        <v>37</v>
      </c>
      <c r="J14" s="13">
        <v>16</v>
      </c>
      <c r="K14" s="14">
        <v>2.2766203703703705E-2</v>
      </c>
      <c r="L14" s="1">
        <f t="shared" si="3"/>
        <v>25</v>
      </c>
      <c r="M14" s="6">
        <f t="shared" si="25"/>
        <v>8</v>
      </c>
      <c r="N14" s="6">
        <f t="shared" si="26"/>
        <v>33</v>
      </c>
      <c r="P14" s="13">
        <v>19</v>
      </c>
      <c r="Q14" s="14">
        <v>3.7951388888888889E-2</v>
      </c>
      <c r="R14" s="1">
        <f t="shared" si="6"/>
        <v>22</v>
      </c>
      <c r="S14" s="6">
        <f t="shared" si="27"/>
        <v>8</v>
      </c>
      <c r="T14" s="6">
        <f t="shared" si="28"/>
        <v>30</v>
      </c>
      <c r="V14" s="13">
        <v>15</v>
      </c>
      <c r="W14" s="14">
        <v>2.4328703703703703E-2</v>
      </c>
      <c r="X14" s="1">
        <f t="shared" si="9"/>
        <v>26</v>
      </c>
      <c r="Y14" s="6">
        <f t="shared" si="10"/>
        <v>8</v>
      </c>
      <c r="Z14" s="6">
        <f t="shared" si="11"/>
        <v>34</v>
      </c>
      <c r="AB14" s="13">
        <v>17</v>
      </c>
      <c r="AC14" s="14">
        <v>5.3680555555555558E-2</v>
      </c>
      <c r="AD14" s="1">
        <f t="shared" si="12"/>
        <v>24</v>
      </c>
      <c r="AE14" s="6">
        <f t="shared" si="29"/>
        <v>8</v>
      </c>
      <c r="AF14" s="6">
        <f t="shared" si="30"/>
        <v>32</v>
      </c>
      <c r="AH14" s="13"/>
      <c r="AI14" s="14"/>
      <c r="AJ14" s="1" t="str">
        <f t="shared" si="15"/>
        <v/>
      </c>
      <c r="AK14" s="6" t="str">
        <f t="shared" si="31"/>
        <v/>
      </c>
      <c r="AL14" s="6" t="str">
        <f t="shared" si="32"/>
        <v/>
      </c>
      <c r="AN14" s="13"/>
      <c r="AO14" s="14"/>
      <c r="AP14" s="1" t="str">
        <f t="shared" si="18"/>
        <v/>
      </c>
      <c r="AQ14" s="6" t="str">
        <f t="shared" si="33"/>
        <v/>
      </c>
      <c r="AR14" s="6" t="str">
        <f t="shared" si="34"/>
        <v/>
      </c>
      <c r="AT14" s="1">
        <f t="shared" si="21"/>
        <v>126</v>
      </c>
      <c r="AU14" s="3">
        <f t="shared" si="22"/>
        <v>166</v>
      </c>
    </row>
    <row r="15" spans="1:47" x14ac:dyDescent="0.2">
      <c r="A15" s="12" t="s">
        <v>65</v>
      </c>
      <c r="B15" s="13">
        <v>2</v>
      </c>
      <c r="D15" s="13">
        <v>14</v>
      </c>
      <c r="E15" s="15">
        <v>2.6828703703703705E-2</v>
      </c>
      <c r="F15" s="1">
        <f t="shared" si="0"/>
        <v>27</v>
      </c>
      <c r="G15" s="6">
        <f t="shared" si="23"/>
        <v>8</v>
      </c>
      <c r="H15" s="6">
        <f t="shared" si="24"/>
        <v>35</v>
      </c>
      <c r="J15" s="13">
        <v>14</v>
      </c>
      <c r="K15" s="14">
        <v>2.2592592592592591E-2</v>
      </c>
      <c r="L15" s="1">
        <f t="shared" si="3"/>
        <v>27</v>
      </c>
      <c r="M15" s="6">
        <f t="shared" si="25"/>
        <v>8</v>
      </c>
      <c r="N15" s="6">
        <f t="shared" si="26"/>
        <v>35</v>
      </c>
      <c r="P15" s="13">
        <v>16</v>
      </c>
      <c r="Q15" s="14">
        <v>3.7557870370370373E-2</v>
      </c>
      <c r="R15" s="1">
        <f t="shared" si="6"/>
        <v>25</v>
      </c>
      <c r="S15" s="6">
        <f t="shared" si="27"/>
        <v>8</v>
      </c>
      <c r="T15" s="6">
        <f t="shared" si="28"/>
        <v>33</v>
      </c>
      <c r="V15" s="13">
        <v>24</v>
      </c>
      <c r="W15" s="14">
        <v>2.6030092592592594E-2</v>
      </c>
      <c r="X15" s="1">
        <f t="shared" si="9"/>
        <v>17</v>
      </c>
      <c r="Y15" s="6">
        <f t="shared" si="10"/>
        <v>8</v>
      </c>
      <c r="Z15" s="6">
        <f t="shared" si="11"/>
        <v>25</v>
      </c>
      <c r="AB15" s="13">
        <v>37</v>
      </c>
      <c r="AC15" s="14">
        <v>8.0509259259259253E-2</v>
      </c>
      <c r="AD15" s="1">
        <f t="shared" si="12"/>
        <v>4</v>
      </c>
      <c r="AE15" s="6">
        <f t="shared" si="29"/>
        <v>8</v>
      </c>
      <c r="AF15" s="6">
        <f t="shared" si="30"/>
        <v>12</v>
      </c>
      <c r="AH15" s="13"/>
      <c r="AI15" s="14"/>
      <c r="AJ15" s="1" t="str">
        <f t="shared" si="15"/>
        <v/>
      </c>
      <c r="AK15" s="6" t="str">
        <f t="shared" si="31"/>
        <v/>
      </c>
      <c r="AL15" s="6" t="str">
        <f t="shared" si="32"/>
        <v/>
      </c>
      <c r="AN15" s="13"/>
      <c r="AO15" s="14"/>
      <c r="AP15" s="1" t="str">
        <f t="shared" si="18"/>
        <v/>
      </c>
      <c r="AQ15" s="6" t="str">
        <f t="shared" si="33"/>
        <v/>
      </c>
      <c r="AR15" s="6" t="str">
        <f t="shared" si="34"/>
        <v/>
      </c>
      <c r="AT15" s="1">
        <f t="shared" si="21"/>
        <v>100</v>
      </c>
      <c r="AU15" s="3">
        <f t="shared" si="22"/>
        <v>140</v>
      </c>
    </row>
    <row r="16" spans="1:47" x14ac:dyDescent="0.2">
      <c r="A16" s="12" t="s">
        <v>66</v>
      </c>
      <c r="B16" s="13">
        <v>2</v>
      </c>
      <c r="D16" s="13">
        <v>30</v>
      </c>
      <c r="E16" s="15">
        <v>3.037037037037037E-2</v>
      </c>
      <c r="F16" s="1">
        <f t="shared" si="0"/>
        <v>11</v>
      </c>
      <c r="G16" s="6">
        <f t="shared" si="23"/>
        <v>8</v>
      </c>
      <c r="H16" s="6">
        <f t="shared" si="24"/>
        <v>19</v>
      </c>
      <c r="J16" s="13">
        <v>28</v>
      </c>
      <c r="K16" s="14">
        <v>2.5289351851851851E-2</v>
      </c>
      <c r="L16" s="1">
        <f t="shared" si="3"/>
        <v>13</v>
      </c>
      <c r="M16" s="6">
        <f t="shared" si="25"/>
        <v>8</v>
      </c>
      <c r="N16" s="6">
        <f t="shared" si="26"/>
        <v>21</v>
      </c>
      <c r="P16" s="13">
        <v>23</v>
      </c>
      <c r="Q16" s="14">
        <v>3.9108796296296294E-2</v>
      </c>
      <c r="R16" s="1">
        <f t="shared" si="6"/>
        <v>18</v>
      </c>
      <c r="S16" s="6">
        <f t="shared" si="27"/>
        <v>8</v>
      </c>
      <c r="T16" s="6">
        <f t="shared" si="28"/>
        <v>26</v>
      </c>
      <c r="V16" s="13">
        <v>31</v>
      </c>
      <c r="W16" s="14">
        <v>2.6932870370370371E-2</v>
      </c>
      <c r="X16" s="1">
        <f t="shared" si="9"/>
        <v>10</v>
      </c>
      <c r="Y16" s="6">
        <f t="shared" si="10"/>
        <v>8</v>
      </c>
      <c r="Z16" s="6">
        <f t="shared" si="11"/>
        <v>18</v>
      </c>
      <c r="AB16" s="13">
        <v>21</v>
      </c>
      <c r="AC16" s="14">
        <v>5.5E-2</v>
      </c>
      <c r="AD16" s="1">
        <f t="shared" si="12"/>
        <v>20</v>
      </c>
      <c r="AE16" s="6">
        <f t="shared" si="29"/>
        <v>8</v>
      </c>
      <c r="AF16" s="6">
        <f t="shared" si="30"/>
        <v>28</v>
      </c>
      <c r="AH16" s="13"/>
      <c r="AI16" s="14"/>
      <c r="AJ16" s="1" t="str">
        <f t="shared" si="15"/>
        <v/>
      </c>
      <c r="AK16" s="6" t="str">
        <f t="shared" si="31"/>
        <v/>
      </c>
      <c r="AL16" s="6" t="str">
        <f t="shared" si="32"/>
        <v/>
      </c>
      <c r="AN16" s="13"/>
      <c r="AO16" s="14"/>
      <c r="AP16" s="1" t="str">
        <f t="shared" si="18"/>
        <v/>
      </c>
      <c r="AQ16" s="6" t="str">
        <f t="shared" si="33"/>
        <v/>
      </c>
      <c r="AR16" s="6" t="str">
        <f t="shared" si="34"/>
        <v/>
      </c>
      <c r="AT16" s="1">
        <f t="shared" si="21"/>
        <v>72</v>
      </c>
      <c r="AU16" s="3">
        <f t="shared" si="22"/>
        <v>112</v>
      </c>
    </row>
    <row r="17" spans="1:47" x14ac:dyDescent="0.2">
      <c r="A17" s="12" t="s">
        <v>67</v>
      </c>
      <c r="B17" s="13">
        <v>2</v>
      </c>
      <c r="D17" s="13">
        <v>25</v>
      </c>
      <c r="E17" s="15">
        <v>2.8854166666666667E-2</v>
      </c>
      <c r="F17" s="1">
        <f t="shared" si="0"/>
        <v>16</v>
      </c>
      <c r="G17" s="6">
        <f t="shared" si="23"/>
        <v>8</v>
      </c>
      <c r="H17" s="6">
        <f t="shared" si="24"/>
        <v>24</v>
      </c>
      <c r="J17" s="13">
        <v>26</v>
      </c>
      <c r="K17" s="14">
        <v>2.5023148148148149E-2</v>
      </c>
      <c r="L17" s="1">
        <f t="shared" si="3"/>
        <v>15</v>
      </c>
      <c r="M17" s="6">
        <f t="shared" si="25"/>
        <v>8</v>
      </c>
      <c r="N17" s="6">
        <f t="shared" si="26"/>
        <v>23</v>
      </c>
      <c r="P17" s="13">
        <v>28</v>
      </c>
      <c r="Q17" s="14">
        <v>4.1180555555555554E-2</v>
      </c>
      <c r="R17" s="1">
        <f t="shared" si="6"/>
        <v>13</v>
      </c>
      <c r="S17" s="6">
        <f t="shared" si="27"/>
        <v>8</v>
      </c>
      <c r="T17" s="6">
        <f t="shared" si="28"/>
        <v>21</v>
      </c>
      <c r="V17" s="13">
        <v>27</v>
      </c>
      <c r="W17" s="14">
        <v>2.6377314814814815E-2</v>
      </c>
      <c r="X17" s="1">
        <f t="shared" si="9"/>
        <v>14</v>
      </c>
      <c r="Y17" s="6">
        <f t="shared" si="10"/>
        <v>8</v>
      </c>
      <c r="Z17" s="6">
        <f t="shared" si="11"/>
        <v>22</v>
      </c>
      <c r="AB17" s="13">
        <v>26</v>
      </c>
      <c r="AC17" s="14">
        <v>5.7847222222222223E-2</v>
      </c>
      <c r="AD17" s="1">
        <f t="shared" si="12"/>
        <v>15</v>
      </c>
      <c r="AE17" s="6">
        <f t="shared" si="29"/>
        <v>8</v>
      </c>
      <c r="AF17" s="6">
        <f t="shared" si="30"/>
        <v>23</v>
      </c>
      <c r="AH17" s="13"/>
      <c r="AI17" s="14"/>
      <c r="AJ17" s="1" t="str">
        <f t="shared" si="15"/>
        <v/>
      </c>
      <c r="AK17" s="6" t="str">
        <f t="shared" si="31"/>
        <v/>
      </c>
      <c r="AL17" s="6" t="str">
        <f t="shared" si="32"/>
        <v/>
      </c>
      <c r="AN17" s="13"/>
      <c r="AO17" s="14"/>
      <c r="AP17" s="1" t="str">
        <f t="shared" si="18"/>
        <v/>
      </c>
      <c r="AQ17" s="6" t="str">
        <f t="shared" si="33"/>
        <v/>
      </c>
      <c r="AR17" s="6" t="str">
        <f t="shared" si="34"/>
        <v/>
      </c>
      <c r="AT17" s="1">
        <f t="shared" si="21"/>
        <v>73</v>
      </c>
      <c r="AU17" s="3">
        <f t="shared" si="22"/>
        <v>113</v>
      </c>
    </row>
    <row r="18" spans="1:47" x14ac:dyDescent="0.2">
      <c r="A18" s="12" t="s">
        <v>68</v>
      </c>
      <c r="B18" s="13">
        <v>2</v>
      </c>
      <c r="D18" s="13">
        <v>19</v>
      </c>
      <c r="E18" s="15">
        <v>2.75E-2</v>
      </c>
      <c r="F18" s="1">
        <f t="shared" si="0"/>
        <v>22</v>
      </c>
      <c r="G18" s="6">
        <f t="shared" si="23"/>
        <v>8</v>
      </c>
      <c r="H18" s="6">
        <f t="shared" si="24"/>
        <v>30</v>
      </c>
      <c r="J18" s="13">
        <v>17</v>
      </c>
      <c r="K18" s="14">
        <v>2.2824074074074073E-2</v>
      </c>
      <c r="L18" s="1">
        <f t="shared" si="3"/>
        <v>24</v>
      </c>
      <c r="M18" s="6">
        <f t="shared" si="25"/>
        <v>8</v>
      </c>
      <c r="N18" s="6">
        <f t="shared" si="26"/>
        <v>32</v>
      </c>
      <c r="P18" s="13">
        <v>18</v>
      </c>
      <c r="Q18" s="14">
        <v>3.7766203703703705E-2</v>
      </c>
      <c r="R18" s="1">
        <f t="shared" si="6"/>
        <v>23</v>
      </c>
      <c r="S18" s="6">
        <f t="shared" si="27"/>
        <v>8</v>
      </c>
      <c r="T18" s="6">
        <f t="shared" si="28"/>
        <v>31</v>
      </c>
      <c r="V18" s="13">
        <v>21</v>
      </c>
      <c r="W18" s="14">
        <v>2.5289351851851851E-2</v>
      </c>
      <c r="X18" s="1">
        <f t="shared" si="9"/>
        <v>20</v>
      </c>
      <c r="Y18" s="6">
        <f t="shared" si="10"/>
        <v>8</v>
      </c>
      <c r="Z18" s="6">
        <f t="shared" si="11"/>
        <v>28</v>
      </c>
      <c r="AB18" s="13">
        <v>14</v>
      </c>
      <c r="AC18" s="14" t="s">
        <v>121</v>
      </c>
      <c r="AD18" s="1">
        <f t="shared" si="12"/>
        <v>27</v>
      </c>
      <c r="AE18" s="6">
        <f t="shared" si="29"/>
        <v>8</v>
      </c>
      <c r="AF18" s="6">
        <f t="shared" si="30"/>
        <v>35</v>
      </c>
      <c r="AH18" s="13"/>
      <c r="AI18" s="14"/>
      <c r="AJ18" s="1" t="str">
        <f t="shared" si="15"/>
        <v/>
      </c>
      <c r="AK18" s="6" t="str">
        <f t="shared" si="31"/>
        <v/>
      </c>
      <c r="AL18" s="6" t="str">
        <f t="shared" si="32"/>
        <v/>
      </c>
      <c r="AN18" s="13"/>
      <c r="AO18" s="14"/>
      <c r="AP18" s="1" t="str">
        <f t="shared" si="18"/>
        <v/>
      </c>
      <c r="AQ18" s="6" t="str">
        <f t="shared" si="33"/>
        <v/>
      </c>
      <c r="AR18" s="6" t="str">
        <f t="shared" si="34"/>
        <v/>
      </c>
      <c r="AT18" s="1">
        <f t="shared" si="21"/>
        <v>116</v>
      </c>
      <c r="AU18" s="3">
        <f t="shared" si="22"/>
        <v>156</v>
      </c>
    </row>
    <row r="19" spans="1:47" x14ac:dyDescent="0.2">
      <c r="A19" s="12" t="s">
        <v>69</v>
      </c>
      <c r="B19" s="13">
        <v>2</v>
      </c>
      <c r="D19" s="13">
        <v>11</v>
      </c>
      <c r="E19" s="15">
        <v>2.6712962962962963E-2</v>
      </c>
      <c r="F19" s="1">
        <f t="shared" si="0"/>
        <v>30</v>
      </c>
      <c r="G19" s="6">
        <f t="shared" si="23"/>
        <v>8</v>
      </c>
      <c r="H19" s="6">
        <f t="shared" si="24"/>
        <v>38</v>
      </c>
      <c r="J19" s="13">
        <v>11</v>
      </c>
      <c r="K19" s="14">
        <v>2.2499999999999999E-2</v>
      </c>
      <c r="L19" s="1">
        <f t="shared" si="3"/>
        <v>30</v>
      </c>
      <c r="M19" s="6">
        <f t="shared" si="25"/>
        <v>8</v>
      </c>
      <c r="N19" s="6">
        <f t="shared" si="26"/>
        <v>38</v>
      </c>
      <c r="P19" s="13">
        <v>25</v>
      </c>
      <c r="Q19" s="14">
        <v>3.9849537037037037E-2</v>
      </c>
      <c r="R19" s="1">
        <f t="shared" si="6"/>
        <v>16</v>
      </c>
      <c r="S19" s="6">
        <f t="shared" si="27"/>
        <v>8</v>
      </c>
      <c r="T19" s="6">
        <f t="shared" si="28"/>
        <v>24</v>
      </c>
      <c r="V19" s="13">
        <v>11</v>
      </c>
      <c r="W19" s="14">
        <v>2.4039351851851853E-2</v>
      </c>
      <c r="X19" s="1">
        <f t="shared" si="9"/>
        <v>30</v>
      </c>
      <c r="Y19" s="6">
        <f t="shared" si="10"/>
        <v>8</v>
      </c>
      <c r="Z19" s="6">
        <f t="shared" si="11"/>
        <v>38</v>
      </c>
      <c r="AB19" s="13">
        <v>19</v>
      </c>
      <c r="AC19" s="14">
        <v>5.4340277777777779E-2</v>
      </c>
      <c r="AD19" s="1">
        <f t="shared" si="12"/>
        <v>22</v>
      </c>
      <c r="AE19" s="6">
        <f t="shared" si="29"/>
        <v>8</v>
      </c>
      <c r="AF19" s="6">
        <f t="shared" si="30"/>
        <v>30</v>
      </c>
      <c r="AH19" s="13"/>
      <c r="AI19" s="14"/>
      <c r="AJ19" s="1" t="str">
        <f t="shared" si="15"/>
        <v/>
      </c>
      <c r="AK19" s="6" t="str">
        <f t="shared" si="31"/>
        <v/>
      </c>
      <c r="AL19" s="6" t="str">
        <f t="shared" si="32"/>
        <v/>
      </c>
      <c r="AN19" s="13"/>
      <c r="AO19" s="14"/>
      <c r="AP19" s="1" t="str">
        <f t="shared" si="18"/>
        <v/>
      </c>
      <c r="AQ19" s="6" t="str">
        <f t="shared" si="33"/>
        <v/>
      </c>
      <c r="AR19" s="6" t="str">
        <f t="shared" si="34"/>
        <v/>
      </c>
      <c r="AT19" s="1">
        <f t="shared" si="21"/>
        <v>128</v>
      </c>
      <c r="AU19" s="3">
        <f t="shared" si="22"/>
        <v>168</v>
      </c>
    </row>
    <row r="20" spans="1:47" x14ac:dyDescent="0.2">
      <c r="A20" s="12" t="s">
        <v>70</v>
      </c>
      <c r="B20" s="13">
        <v>2</v>
      </c>
      <c r="D20" s="13">
        <v>20</v>
      </c>
      <c r="E20" s="15">
        <v>2.7581018518518519E-2</v>
      </c>
      <c r="F20" s="1">
        <f t="shared" si="0"/>
        <v>21</v>
      </c>
      <c r="G20" s="6">
        <f t="shared" si="23"/>
        <v>8</v>
      </c>
      <c r="H20" s="6">
        <f t="shared" si="24"/>
        <v>29</v>
      </c>
      <c r="J20" s="13">
        <v>23</v>
      </c>
      <c r="K20" s="14">
        <v>2.4270833333333332E-2</v>
      </c>
      <c r="L20" s="1">
        <f t="shared" si="3"/>
        <v>18</v>
      </c>
      <c r="M20" s="6">
        <f t="shared" si="25"/>
        <v>8</v>
      </c>
      <c r="N20" s="6">
        <f t="shared" si="26"/>
        <v>26</v>
      </c>
      <c r="P20" s="13">
        <v>21</v>
      </c>
      <c r="Q20" s="14">
        <v>3.8680555555555558E-2</v>
      </c>
      <c r="R20" s="1">
        <f t="shared" si="6"/>
        <v>20</v>
      </c>
      <c r="S20" s="6">
        <f t="shared" si="27"/>
        <v>8</v>
      </c>
      <c r="T20" s="6">
        <f t="shared" si="28"/>
        <v>28</v>
      </c>
      <c r="V20" s="13">
        <v>28</v>
      </c>
      <c r="W20" s="14">
        <v>2.6458333333333334E-2</v>
      </c>
      <c r="X20" s="1">
        <f t="shared" si="9"/>
        <v>13</v>
      </c>
      <c r="Y20" s="6">
        <f t="shared" si="10"/>
        <v>8</v>
      </c>
      <c r="Z20" s="6">
        <f t="shared" si="11"/>
        <v>21</v>
      </c>
      <c r="AB20" s="13">
        <v>24</v>
      </c>
      <c r="AC20" s="14">
        <v>5.5972222222222222E-2</v>
      </c>
      <c r="AD20" s="1">
        <f t="shared" si="12"/>
        <v>17</v>
      </c>
      <c r="AE20" s="6">
        <f t="shared" si="29"/>
        <v>8</v>
      </c>
      <c r="AF20" s="6">
        <f t="shared" si="30"/>
        <v>25</v>
      </c>
      <c r="AH20" s="13"/>
      <c r="AI20" s="14"/>
      <c r="AJ20" s="1" t="str">
        <f t="shared" si="15"/>
        <v/>
      </c>
      <c r="AK20" s="6" t="str">
        <f t="shared" si="31"/>
        <v/>
      </c>
      <c r="AL20" s="6" t="str">
        <f t="shared" si="32"/>
        <v/>
      </c>
      <c r="AN20" s="13"/>
      <c r="AO20" s="14"/>
      <c r="AP20" s="1" t="str">
        <f t="shared" si="18"/>
        <v/>
      </c>
      <c r="AQ20" s="6" t="str">
        <f t="shared" si="33"/>
        <v/>
      </c>
      <c r="AR20" s="6" t="str">
        <f t="shared" si="34"/>
        <v/>
      </c>
      <c r="AT20" s="1">
        <f t="shared" si="21"/>
        <v>89</v>
      </c>
      <c r="AU20" s="3">
        <f t="shared" si="22"/>
        <v>129</v>
      </c>
    </row>
    <row r="21" spans="1:47" x14ac:dyDescent="0.2">
      <c r="A21" s="12" t="s">
        <v>71</v>
      </c>
      <c r="B21" s="13">
        <v>2</v>
      </c>
      <c r="D21" s="13">
        <v>13</v>
      </c>
      <c r="E21" s="15">
        <v>2.6782407407407408E-2</v>
      </c>
      <c r="F21" s="1">
        <f t="shared" si="0"/>
        <v>28</v>
      </c>
      <c r="G21" s="6">
        <f t="shared" si="23"/>
        <v>8</v>
      </c>
      <c r="H21" s="6">
        <f t="shared" si="24"/>
        <v>36</v>
      </c>
      <c r="J21" s="13">
        <v>18</v>
      </c>
      <c r="K21" s="14">
        <v>2.329861111111111E-2</v>
      </c>
      <c r="L21" s="1">
        <f t="shared" si="3"/>
        <v>23</v>
      </c>
      <c r="M21" s="6">
        <f t="shared" si="25"/>
        <v>8</v>
      </c>
      <c r="N21" s="6">
        <f t="shared" si="26"/>
        <v>31</v>
      </c>
      <c r="P21" s="13">
        <v>11</v>
      </c>
      <c r="Q21" s="14">
        <v>3.6423611111111108E-2</v>
      </c>
      <c r="R21" s="1">
        <f t="shared" si="6"/>
        <v>30</v>
      </c>
      <c r="S21" s="6">
        <f t="shared" si="27"/>
        <v>8</v>
      </c>
      <c r="T21" s="6">
        <f t="shared" si="28"/>
        <v>38</v>
      </c>
      <c r="V21" s="13">
        <v>16</v>
      </c>
      <c r="W21" s="14">
        <v>2.4479166666666666E-2</v>
      </c>
      <c r="X21" s="1">
        <f t="shared" si="9"/>
        <v>25</v>
      </c>
      <c r="Y21" s="6">
        <f t="shared" si="10"/>
        <v>8</v>
      </c>
      <c r="Z21" s="6">
        <f t="shared" si="11"/>
        <v>33</v>
      </c>
      <c r="AB21" s="13">
        <v>7</v>
      </c>
      <c r="AC21" s="14">
        <v>4.9444444444444444E-2</v>
      </c>
      <c r="AD21" s="1">
        <f t="shared" si="12"/>
        <v>34</v>
      </c>
      <c r="AE21" s="6">
        <f t="shared" si="29"/>
        <v>8</v>
      </c>
      <c r="AF21" s="6">
        <f t="shared" si="30"/>
        <v>40</v>
      </c>
      <c r="AH21" s="13"/>
      <c r="AI21" s="14"/>
      <c r="AJ21" s="1" t="str">
        <f t="shared" si="15"/>
        <v/>
      </c>
      <c r="AK21" s="6" t="str">
        <f t="shared" si="31"/>
        <v/>
      </c>
      <c r="AL21" s="6" t="str">
        <f t="shared" si="32"/>
        <v/>
      </c>
      <c r="AN21" s="13"/>
      <c r="AO21" s="14"/>
      <c r="AP21" s="1" t="str">
        <f t="shared" si="18"/>
        <v/>
      </c>
      <c r="AQ21" s="6" t="str">
        <f t="shared" si="33"/>
        <v/>
      </c>
      <c r="AR21" s="6" t="str">
        <f t="shared" si="34"/>
        <v/>
      </c>
      <c r="AT21" s="1">
        <f t="shared" si="21"/>
        <v>140</v>
      </c>
      <c r="AU21" s="3">
        <f t="shared" si="22"/>
        <v>178</v>
      </c>
    </row>
    <row r="22" spans="1:47" x14ac:dyDescent="0.2">
      <c r="A22" s="12" t="s">
        <v>72</v>
      </c>
      <c r="B22" s="13">
        <v>2</v>
      </c>
      <c r="D22" s="13">
        <v>9</v>
      </c>
      <c r="E22" s="15">
        <v>2.6435185185185187E-2</v>
      </c>
      <c r="F22" s="1">
        <f t="shared" si="0"/>
        <v>32</v>
      </c>
      <c r="G22" s="6">
        <f t="shared" si="23"/>
        <v>8</v>
      </c>
      <c r="H22" s="6">
        <f t="shared" si="24"/>
        <v>40</v>
      </c>
      <c r="J22" s="13">
        <v>9</v>
      </c>
      <c r="K22" s="14">
        <v>2.2291666666666668E-2</v>
      </c>
      <c r="L22" s="1">
        <f t="shared" si="3"/>
        <v>32</v>
      </c>
      <c r="M22" s="6">
        <f t="shared" si="25"/>
        <v>8</v>
      </c>
      <c r="N22" s="6">
        <f t="shared" si="26"/>
        <v>40</v>
      </c>
      <c r="P22" s="16">
        <v>8</v>
      </c>
      <c r="Q22" s="14">
        <v>3.5960648148148151E-2</v>
      </c>
      <c r="R22" s="1">
        <f t="shared" si="6"/>
        <v>33</v>
      </c>
      <c r="S22" s="6">
        <f t="shared" si="27"/>
        <v>8</v>
      </c>
      <c r="T22" s="6">
        <f t="shared" si="28"/>
        <v>40</v>
      </c>
      <c r="V22" s="13">
        <v>6</v>
      </c>
      <c r="W22" s="14">
        <v>2.3310185185185184E-2</v>
      </c>
      <c r="X22" s="1">
        <f t="shared" si="9"/>
        <v>35</v>
      </c>
      <c r="Y22" s="6">
        <f t="shared" si="10"/>
        <v>8</v>
      </c>
      <c r="Z22" s="6">
        <f t="shared" si="11"/>
        <v>40</v>
      </c>
      <c r="AB22" s="13">
        <v>9</v>
      </c>
      <c r="AC22" s="14">
        <v>5.0081018518518518E-2</v>
      </c>
      <c r="AD22" s="1">
        <f t="shared" si="12"/>
        <v>32</v>
      </c>
      <c r="AE22" s="6">
        <f t="shared" si="29"/>
        <v>8</v>
      </c>
      <c r="AF22" s="6">
        <f t="shared" si="30"/>
        <v>40</v>
      </c>
      <c r="AH22" s="13"/>
      <c r="AI22" s="14"/>
      <c r="AJ22" s="1" t="str">
        <f t="shared" si="15"/>
        <v/>
      </c>
      <c r="AK22" s="6" t="str">
        <f t="shared" si="31"/>
        <v/>
      </c>
      <c r="AL22" s="6" t="str">
        <f t="shared" si="32"/>
        <v/>
      </c>
      <c r="AN22" s="13"/>
      <c r="AO22" s="14"/>
      <c r="AP22" s="1" t="str">
        <f t="shared" si="18"/>
        <v/>
      </c>
      <c r="AQ22" s="6" t="str">
        <f t="shared" si="33"/>
        <v/>
      </c>
      <c r="AR22" s="6" t="str">
        <f t="shared" si="34"/>
        <v/>
      </c>
      <c r="AT22" s="1">
        <f t="shared" si="21"/>
        <v>164</v>
      </c>
      <c r="AU22" s="3">
        <f t="shared" si="22"/>
        <v>200</v>
      </c>
    </row>
    <row r="23" spans="1:47" x14ac:dyDescent="0.2">
      <c r="A23" s="12" t="s">
        <v>73</v>
      </c>
      <c r="B23" s="13">
        <v>2</v>
      </c>
      <c r="D23" s="13">
        <v>21</v>
      </c>
      <c r="E23" s="15">
        <v>2.7650462962962963E-2</v>
      </c>
      <c r="F23" s="1">
        <f t="shared" si="0"/>
        <v>20</v>
      </c>
      <c r="G23" s="6">
        <f t="shared" si="23"/>
        <v>8</v>
      </c>
      <c r="H23" s="6">
        <f t="shared" si="24"/>
        <v>28</v>
      </c>
      <c r="J23" s="13">
        <v>13</v>
      </c>
      <c r="K23" s="14">
        <v>2.255787037037037E-2</v>
      </c>
      <c r="L23" s="1">
        <f t="shared" si="3"/>
        <v>28</v>
      </c>
      <c r="M23" s="6">
        <f t="shared" si="25"/>
        <v>8</v>
      </c>
      <c r="N23" s="6">
        <f t="shared" si="26"/>
        <v>36</v>
      </c>
      <c r="P23" s="13">
        <v>17</v>
      </c>
      <c r="Q23" s="14">
        <v>3.7638888888888888E-2</v>
      </c>
      <c r="R23" s="1">
        <f t="shared" si="6"/>
        <v>24</v>
      </c>
      <c r="S23" s="6">
        <f t="shared" si="27"/>
        <v>8</v>
      </c>
      <c r="T23" s="6">
        <f t="shared" si="28"/>
        <v>32</v>
      </c>
      <c r="V23" s="13">
        <v>18</v>
      </c>
      <c r="W23" s="14">
        <v>2.4745370370370369E-2</v>
      </c>
      <c r="X23" s="1">
        <f t="shared" si="9"/>
        <v>23</v>
      </c>
      <c r="Y23" s="6">
        <f t="shared" si="10"/>
        <v>8</v>
      </c>
      <c r="Z23" s="6">
        <f t="shared" si="11"/>
        <v>31</v>
      </c>
      <c r="AB23" s="13">
        <v>13</v>
      </c>
      <c r="AC23" s="14">
        <v>5.2083333333333336E-2</v>
      </c>
      <c r="AD23" s="1">
        <f t="shared" si="12"/>
        <v>28</v>
      </c>
      <c r="AE23" s="6">
        <f t="shared" si="29"/>
        <v>8</v>
      </c>
      <c r="AF23" s="6">
        <f t="shared" si="30"/>
        <v>36</v>
      </c>
      <c r="AH23" s="13"/>
      <c r="AI23" s="14"/>
      <c r="AJ23" s="1" t="str">
        <f t="shared" si="15"/>
        <v/>
      </c>
      <c r="AK23" s="6" t="str">
        <f t="shared" si="31"/>
        <v/>
      </c>
      <c r="AL23" s="6" t="str">
        <f t="shared" si="32"/>
        <v/>
      </c>
      <c r="AN23" s="13"/>
      <c r="AO23" s="14"/>
      <c r="AP23" s="1" t="str">
        <f t="shared" si="18"/>
        <v/>
      </c>
      <c r="AQ23" s="6" t="str">
        <f t="shared" si="33"/>
        <v/>
      </c>
      <c r="AR23" s="6" t="str">
        <f t="shared" si="34"/>
        <v/>
      </c>
      <c r="AT23" s="1">
        <f t="shared" si="21"/>
        <v>123</v>
      </c>
      <c r="AU23" s="3">
        <f t="shared" si="22"/>
        <v>163</v>
      </c>
    </row>
    <row r="24" spans="1:47" x14ac:dyDescent="0.2">
      <c r="A24" s="12" t="s">
        <v>75</v>
      </c>
      <c r="B24" s="13">
        <v>2</v>
      </c>
      <c r="D24" s="13">
        <v>4</v>
      </c>
      <c r="E24" s="14">
        <v>2.5231481481481483E-2</v>
      </c>
      <c r="F24" s="1">
        <f t="shared" si="0"/>
        <v>37</v>
      </c>
      <c r="G24" s="6">
        <f t="shared" si="23"/>
        <v>8</v>
      </c>
      <c r="H24" s="6">
        <f t="shared" si="24"/>
        <v>40</v>
      </c>
      <c r="J24" s="13">
        <v>39</v>
      </c>
      <c r="K24" s="14">
        <v>3.4143518518518517E-2</v>
      </c>
      <c r="L24" s="1">
        <f t="shared" si="3"/>
        <v>2</v>
      </c>
      <c r="M24" s="6">
        <f t="shared" si="25"/>
        <v>8</v>
      </c>
      <c r="N24" s="6">
        <f t="shared" si="26"/>
        <v>10</v>
      </c>
      <c r="P24" s="13">
        <v>10</v>
      </c>
      <c r="Q24" s="14">
        <v>3.6145833333333335E-2</v>
      </c>
      <c r="R24" s="1">
        <f t="shared" si="6"/>
        <v>31</v>
      </c>
      <c r="S24" s="6">
        <f t="shared" si="27"/>
        <v>8</v>
      </c>
      <c r="T24" s="6">
        <f t="shared" si="28"/>
        <v>39</v>
      </c>
      <c r="V24" s="13">
        <v>20</v>
      </c>
      <c r="W24" s="14">
        <v>2.4814814814814814E-2</v>
      </c>
      <c r="X24" s="1">
        <f t="shared" si="9"/>
        <v>21</v>
      </c>
      <c r="Y24" s="6">
        <f t="shared" si="10"/>
        <v>8</v>
      </c>
      <c r="Z24" s="6">
        <f t="shared" si="11"/>
        <v>29</v>
      </c>
      <c r="AB24" s="13">
        <v>11</v>
      </c>
      <c r="AC24" s="14">
        <v>5.0347222222222224E-2</v>
      </c>
      <c r="AD24" s="1">
        <f t="shared" si="12"/>
        <v>30</v>
      </c>
      <c r="AE24" s="6">
        <f t="shared" si="29"/>
        <v>8</v>
      </c>
      <c r="AF24" s="6">
        <f t="shared" si="30"/>
        <v>38</v>
      </c>
      <c r="AH24" s="13"/>
      <c r="AI24" s="14"/>
      <c r="AJ24" s="1" t="str">
        <f t="shared" si="15"/>
        <v/>
      </c>
      <c r="AK24" s="6" t="str">
        <f t="shared" si="31"/>
        <v/>
      </c>
      <c r="AL24" s="6" t="str">
        <f t="shared" si="32"/>
        <v/>
      </c>
      <c r="AN24" s="13"/>
      <c r="AO24" s="14"/>
      <c r="AP24" s="1" t="str">
        <f t="shared" si="18"/>
        <v/>
      </c>
      <c r="AQ24" s="6" t="str">
        <f t="shared" si="33"/>
        <v/>
      </c>
      <c r="AR24" s="6" t="str">
        <f t="shared" si="34"/>
        <v/>
      </c>
      <c r="AT24" s="1">
        <f t="shared" si="21"/>
        <v>121</v>
      </c>
      <c r="AU24" s="3">
        <f t="shared" si="22"/>
        <v>156</v>
      </c>
    </row>
    <row r="25" spans="1:47" x14ac:dyDescent="0.2">
      <c r="A25" s="12" t="s">
        <v>74</v>
      </c>
      <c r="B25" s="13">
        <v>2</v>
      </c>
      <c r="D25" s="13">
        <v>18</v>
      </c>
      <c r="E25" s="15">
        <v>2.6898148148148147E-2</v>
      </c>
      <c r="F25" s="1">
        <f t="shared" si="0"/>
        <v>23</v>
      </c>
      <c r="G25" s="6">
        <f t="shared" si="23"/>
        <v>8</v>
      </c>
      <c r="H25" s="6">
        <f t="shared" si="24"/>
        <v>31</v>
      </c>
      <c r="J25" s="13">
        <v>40</v>
      </c>
      <c r="K25" s="14">
        <v>3.4143518518518517E-2</v>
      </c>
      <c r="L25" s="1">
        <f t="shared" si="3"/>
        <v>1</v>
      </c>
      <c r="M25" s="6">
        <f t="shared" si="25"/>
        <v>8</v>
      </c>
      <c r="N25" s="6">
        <f t="shared" si="26"/>
        <v>9</v>
      </c>
      <c r="P25" s="13">
        <v>39</v>
      </c>
      <c r="Q25" s="14">
        <v>6.2476851851851853E-2</v>
      </c>
      <c r="R25" s="1">
        <f t="shared" si="6"/>
        <v>2</v>
      </c>
      <c r="S25" s="6">
        <f t="shared" si="27"/>
        <v>8</v>
      </c>
      <c r="T25" s="6">
        <f t="shared" si="28"/>
        <v>10</v>
      </c>
      <c r="V25" s="13">
        <v>39</v>
      </c>
      <c r="W25" s="14">
        <v>3.4953703703703702E-2</v>
      </c>
      <c r="X25" s="1">
        <f t="shared" si="9"/>
        <v>2</v>
      </c>
      <c r="Y25" s="6">
        <f t="shared" si="10"/>
        <v>8</v>
      </c>
      <c r="Z25" s="6">
        <f t="shared" si="11"/>
        <v>10</v>
      </c>
      <c r="AB25" s="13">
        <v>40</v>
      </c>
      <c r="AC25" s="14">
        <v>8.0509259259259253E-2</v>
      </c>
      <c r="AD25" s="1">
        <f t="shared" si="12"/>
        <v>1</v>
      </c>
      <c r="AE25" s="6">
        <f t="shared" si="29"/>
        <v>8</v>
      </c>
      <c r="AF25" s="6">
        <f t="shared" si="30"/>
        <v>9</v>
      </c>
      <c r="AH25" s="13"/>
      <c r="AI25" s="14"/>
      <c r="AJ25" s="1" t="str">
        <f t="shared" si="15"/>
        <v/>
      </c>
      <c r="AK25" s="6" t="str">
        <f t="shared" si="31"/>
        <v/>
      </c>
      <c r="AL25" s="6" t="str">
        <f t="shared" si="32"/>
        <v/>
      </c>
      <c r="AN25" s="13"/>
      <c r="AO25" s="14"/>
      <c r="AP25" s="1" t="str">
        <f t="shared" si="18"/>
        <v/>
      </c>
      <c r="AQ25" s="6" t="str">
        <f t="shared" si="33"/>
        <v/>
      </c>
      <c r="AR25" s="6" t="str">
        <f t="shared" si="34"/>
        <v/>
      </c>
      <c r="AT25" s="1">
        <f t="shared" si="21"/>
        <v>29</v>
      </c>
      <c r="AU25" s="3">
        <f t="shared" si="22"/>
        <v>69</v>
      </c>
    </row>
    <row r="26" spans="1:47" x14ac:dyDescent="0.2">
      <c r="A26" s="12" t="s">
        <v>76</v>
      </c>
      <c r="B26" s="13">
        <v>3</v>
      </c>
      <c r="D26" s="13">
        <v>26</v>
      </c>
      <c r="E26" s="15">
        <v>2.8912037037037038E-2</v>
      </c>
      <c r="F26" s="1">
        <f t="shared" si="0"/>
        <v>15</v>
      </c>
      <c r="G26" s="6">
        <f t="shared" si="23"/>
        <v>16</v>
      </c>
      <c r="H26" s="6">
        <f t="shared" si="24"/>
        <v>31</v>
      </c>
      <c r="J26" s="13">
        <v>25</v>
      </c>
      <c r="K26" s="14">
        <v>2.4849537037037038E-2</v>
      </c>
      <c r="L26" s="1">
        <f t="shared" si="3"/>
        <v>16</v>
      </c>
      <c r="M26" s="6">
        <f t="shared" si="25"/>
        <v>16</v>
      </c>
      <c r="N26" s="6">
        <f t="shared" si="26"/>
        <v>32</v>
      </c>
      <c r="P26" s="13">
        <v>27</v>
      </c>
      <c r="Q26" s="14">
        <v>4.1076388888888891E-2</v>
      </c>
      <c r="R26" s="1">
        <f t="shared" si="6"/>
        <v>14</v>
      </c>
      <c r="S26" s="6">
        <f t="shared" si="27"/>
        <v>16</v>
      </c>
      <c r="T26" s="6">
        <f t="shared" si="28"/>
        <v>30</v>
      </c>
      <c r="V26" s="13">
        <v>29</v>
      </c>
      <c r="W26" s="14">
        <v>2.6805555555555555E-2</v>
      </c>
      <c r="X26" s="1">
        <f t="shared" si="9"/>
        <v>12</v>
      </c>
      <c r="Y26" s="6">
        <f t="shared" si="10"/>
        <v>16</v>
      </c>
      <c r="Z26" s="6">
        <f t="shared" si="11"/>
        <v>28</v>
      </c>
      <c r="AB26" s="13">
        <v>23</v>
      </c>
      <c r="AC26" s="14">
        <v>5.5682870370370369E-2</v>
      </c>
      <c r="AD26" s="1">
        <f t="shared" si="12"/>
        <v>18</v>
      </c>
      <c r="AE26" s="6">
        <f t="shared" si="29"/>
        <v>16</v>
      </c>
      <c r="AF26" s="6">
        <f t="shared" si="30"/>
        <v>34</v>
      </c>
      <c r="AH26" s="13"/>
      <c r="AI26" s="14"/>
      <c r="AJ26" s="1" t="str">
        <f t="shared" si="15"/>
        <v/>
      </c>
      <c r="AK26" s="6" t="str">
        <f t="shared" si="31"/>
        <v/>
      </c>
      <c r="AL26" s="6" t="str">
        <f t="shared" si="32"/>
        <v/>
      </c>
      <c r="AN26" s="13"/>
      <c r="AO26" s="14"/>
      <c r="AP26" s="1" t="str">
        <f t="shared" si="18"/>
        <v/>
      </c>
      <c r="AQ26" s="6" t="str">
        <f t="shared" si="33"/>
        <v/>
      </c>
      <c r="AR26" s="6" t="str">
        <f t="shared" si="34"/>
        <v/>
      </c>
      <c r="AT26" s="1">
        <f t="shared" si="21"/>
        <v>75</v>
      </c>
      <c r="AU26" s="3">
        <f t="shared" si="22"/>
        <v>155</v>
      </c>
    </row>
    <row r="27" spans="1:47" x14ac:dyDescent="0.2">
      <c r="A27" s="12" t="s">
        <v>77</v>
      </c>
      <c r="B27" s="13">
        <v>3</v>
      </c>
      <c r="D27" s="13">
        <v>22</v>
      </c>
      <c r="E27" s="15">
        <v>2.7974537037037037E-2</v>
      </c>
      <c r="F27" s="1">
        <f t="shared" si="0"/>
        <v>19</v>
      </c>
      <c r="G27" s="6">
        <f t="shared" si="23"/>
        <v>16</v>
      </c>
      <c r="H27" s="6">
        <f t="shared" si="24"/>
        <v>35</v>
      </c>
      <c r="J27" s="13">
        <v>22</v>
      </c>
      <c r="K27" s="14">
        <v>2.3935185185185184E-2</v>
      </c>
      <c r="L27" s="1">
        <f t="shared" si="3"/>
        <v>19</v>
      </c>
      <c r="M27" s="6">
        <f t="shared" si="25"/>
        <v>16</v>
      </c>
      <c r="N27" s="6">
        <f t="shared" si="26"/>
        <v>35</v>
      </c>
      <c r="P27" s="13">
        <v>24</v>
      </c>
      <c r="Q27" s="14">
        <v>3.9664351851851853E-2</v>
      </c>
      <c r="R27" s="1">
        <f t="shared" si="6"/>
        <v>17</v>
      </c>
      <c r="S27" s="6">
        <f t="shared" si="27"/>
        <v>16</v>
      </c>
      <c r="T27" s="6">
        <f t="shared" si="28"/>
        <v>33</v>
      </c>
      <c r="V27" s="13">
        <v>17</v>
      </c>
      <c r="W27" s="14">
        <v>2.4710648148148148E-2</v>
      </c>
      <c r="X27" s="1">
        <f t="shared" si="9"/>
        <v>24</v>
      </c>
      <c r="Y27" s="6">
        <f t="shared" si="10"/>
        <v>16</v>
      </c>
      <c r="Z27" s="6">
        <f t="shared" si="11"/>
        <v>40</v>
      </c>
      <c r="AB27" s="13">
        <v>18</v>
      </c>
      <c r="AC27" s="14">
        <v>5.4016203703703705E-2</v>
      </c>
      <c r="AD27" s="1">
        <f t="shared" si="12"/>
        <v>23</v>
      </c>
      <c r="AE27" s="6">
        <f t="shared" si="29"/>
        <v>16</v>
      </c>
      <c r="AF27" s="6">
        <f t="shared" si="30"/>
        <v>39</v>
      </c>
      <c r="AH27" s="13"/>
      <c r="AI27" s="14"/>
      <c r="AJ27" s="1" t="str">
        <f t="shared" si="15"/>
        <v/>
      </c>
      <c r="AK27" s="6" t="str">
        <f t="shared" si="31"/>
        <v/>
      </c>
      <c r="AL27" s="6" t="str">
        <f t="shared" si="32"/>
        <v/>
      </c>
      <c r="AN27" s="13"/>
      <c r="AO27" s="14"/>
      <c r="AP27" s="1" t="str">
        <f t="shared" si="18"/>
        <v/>
      </c>
      <c r="AQ27" s="6" t="str">
        <f t="shared" si="33"/>
        <v/>
      </c>
      <c r="AR27" s="6" t="str">
        <f t="shared" si="34"/>
        <v/>
      </c>
      <c r="AT27" s="1">
        <f t="shared" si="21"/>
        <v>102</v>
      </c>
      <c r="AU27" s="3">
        <f t="shared" si="22"/>
        <v>182</v>
      </c>
    </row>
    <row r="28" spans="1:47" x14ac:dyDescent="0.2">
      <c r="A28" s="12" t="s">
        <v>78</v>
      </c>
      <c r="B28" s="13">
        <v>3</v>
      </c>
      <c r="D28" s="13">
        <v>32</v>
      </c>
      <c r="E28" s="15">
        <v>3.152777777777778E-2</v>
      </c>
      <c r="F28" s="1">
        <f t="shared" si="0"/>
        <v>9</v>
      </c>
      <c r="G28" s="6">
        <f t="shared" si="23"/>
        <v>16</v>
      </c>
      <c r="H28" s="6">
        <f t="shared" si="24"/>
        <v>25</v>
      </c>
      <c r="J28" s="13">
        <v>31</v>
      </c>
      <c r="K28" s="14">
        <v>2.6053240740740741E-2</v>
      </c>
      <c r="L28" s="1">
        <f t="shared" si="3"/>
        <v>10</v>
      </c>
      <c r="M28" s="6">
        <f t="shared" si="25"/>
        <v>16</v>
      </c>
      <c r="N28" s="6">
        <f t="shared" si="26"/>
        <v>26</v>
      </c>
      <c r="P28" s="13">
        <v>38</v>
      </c>
      <c r="Q28" s="14">
        <v>6.2476851851851853E-2</v>
      </c>
      <c r="R28" s="1">
        <f t="shared" si="6"/>
        <v>3</v>
      </c>
      <c r="S28" s="6">
        <f t="shared" si="27"/>
        <v>16</v>
      </c>
      <c r="T28" s="6">
        <f t="shared" si="28"/>
        <v>19</v>
      </c>
      <c r="V28" s="1">
        <v>38</v>
      </c>
      <c r="W28" s="14">
        <v>3.4953703703703702E-2</v>
      </c>
      <c r="X28" s="1">
        <f>IF(COUNT(V$5:V$48)=0,"",IF(ISNUMBER(V29),1+POINTS_CAP_B-V29,0))</f>
        <v>15</v>
      </c>
      <c r="Y28" s="6">
        <f t="shared" si="10"/>
        <v>16</v>
      </c>
      <c r="Z28" s="6">
        <f t="shared" si="11"/>
        <v>31</v>
      </c>
      <c r="AB28" s="13">
        <v>39</v>
      </c>
      <c r="AC28" s="14">
        <v>8.0509259259259253E-2</v>
      </c>
      <c r="AD28" s="1">
        <f t="shared" si="12"/>
        <v>2</v>
      </c>
      <c r="AE28" s="6">
        <f t="shared" si="29"/>
        <v>16</v>
      </c>
      <c r="AF28" s="6">
        <f t="shared" si="30"/>
        <v>18</v>
      </c>
      <c r="AH28" s="13"/>
      <c r="AI28" s="14"/>
      <c r="AJ28" s="1" t="str">
        <f t="shared" si="15"/>
        <v/>
      </c>
      <c r="AK28" s="6" t="str">
        <f t="shared" si="31"/>
        <v/>
      </c>
      <c r="AL28" s="6" t="str">
        <f t="shared" si="32"/>
        <v/>
      </c>
      <c r="AN28" s="13"/>
      <c r="AO28" s="14"/>
      <c r="AP28" s="1" t="str">
        <f t="shared" si="18"/>
        <v/>
      </c>
      <c r="AQ28" s="6" t="str">
        <f t="shared" si="33"/>
        <v/>
      </c>
      <c r="AR28" s="6" t="str">
        <f t="shared" si="34"/>
        <v/>
      </c>
      <c r="AT28" s="1">
        <f t="shared" si="21"/>
        <v>39</v>
      </c>
      <c r="AU28" s="3">
        <f t="shared" si="22"/>
        <v>119</v>
      </c>
    </row>
    <row r="29" spans="1:47" x14ac:dyDescent="0.2">
      <c r="A29" s="12" t="s">
        <v>79</v>
      </c>
      <c r="B29" s="13">
        <v>3</v>
      </c>
      <c r="D29" s="13">
        <v>27</v>
      </c>
      <c r="E29" s="15">
        <v>2.9039351851851851E-2</v>
      </c>
      <c r="F29" s="1">
        <f t="shared" si="0"/>
        <v>14</v>
      </c>
      <c r="G29" s="6">
        <f t="shared" si="23"/>
        <v>16</v>
      </c>
      <c r="H29" s="6">
        <f t="shared" si="24"/>
        <v>30</v>
      </c>
      <c r="J29" s="13">
        <v>30</v>
      </c>
      <c r="K29" s="14">
        <v>2.5532407407407406E-2</v>
      </c>
      <c r="L29" s="1">
        <f t="shared" si="3"/>
        <v>11</v>
      </c>
      <c r="M29" s="6">
        <f t="shared" si="25"/>
        <v>16</v>
      </c>
      <c r="N29" s="6">
        <f t="shared" si="26"/>
        <v>27</v>
      </c>
      <c r="P29" s="13">
        <v>30</v>
      </c>
      <c r="Q29" s="14">
        <v>4.3344907407407408E-2</v>
      </c>
      <c r="R29" s="1">
        <f t="shared" si="6"/>
        <v>11</v>
      </c>
      <c r="S29" s="6">
        <f t="shared" si="27"/>
        <v>16</v>
      </c>
      <c r="T29" s="6">
        <f t="shared" si="28"/>
        <v>27</v>
      </c>
      <c r="V29" s="13">
        <v>26</v>
      </c>
      <c r="W29" s="14">
        <v>2.6192129629629631E-2</v>
      </c>
      <c r="X29" s="1">
        <f>IF(COUNT(V$5:V$48)=0,"",IF(ISNUMBER(#REF!),1+POINTS_CAP_B-#REF!,0))</f>
        <v>0</v>
      </c>
      <c r="Y29" s="6">
        <f t="shared" si="10"/>
        <v>16</v>
      </c>
      <c r="Z29" s="6">
        <f t="shared" si="11"/>
        <v>16</v>
      </c>
      <c r="AB29" s="13">
        <v>30</v>
      </c>
      <c r="AC29" s="14">
        <v>6.0740740740740741E-2</v>
      </c>
      <c r="AD29" s="1">
        <f t="shared" si="12"/>
        <v>11</v>
      </c>
      <c r="AE29" s="6">
        <f t="shared" si="29"/>
        <v>16</v>
      </c>
      <c r="AF29" s="6">
        <f t="shared" si="30"/>
        <v>27</v>
      </c>
      <c r="AH29" s="13"/>
      <c r="AI29" s="14"/>
      <c r="AJ29" s="1" t="str">
        <f t="shared" si="15"/>
        <v/>
      </c>
      <c r="AK29" s="6" t="str">
        <f t="shared" si="31"/>
        <v/>
      </c>
      <c r="AL29" s="6" t="str">
        <f t="shared" si="32"/>
        <v/>
      </c>
      <c r="AN29" s="13"/>
      <c r="AO29" s="14"/>
      <c r="AP29" s="1" t="str">
        <f t="shared" si="18"/>
        <v/>
      </c>
      <c r="AQ29" s="6" t="str">
        <f t="shared" si="33"/>
        <v/>
      </c>
      <c r="AR29" s="6" t="str">
        <f t="shared" si="34"/>
        <v/>
      </c>
      <c r="AT29" s="1">
        <f t="shared" si="21"/>
        <v>47</v>
      </c>
      <c r="AU29" s="3">
        <f t="shared" si="22"/>
        <v>127</v>
      </c>
    </row>
    <row r="30" spans="1:47" x14ac:dyDescent="0.2">
      <c r="A30" s="12" t="s">
        <v>80</v>
      </c>
      <c r="B30" s="13">
        <v>3</v>
      </c>
      <c r="D30" s="13">
        <v>31</v>
      </c>
      <c r="E30" s="15">
        <v>3.0601851851851852E-2</v>
      </c>
      <c r="F30" s="1">
        <f t="shared" si="0"/>
        <v>10</v>
      </c>
      <c r="G30" s="6">
        <f t="shared" si="23"/>
        <v>16</v>
      </c>
      <c r="H30" s="6">
        <f t="shared" si="24"/>
        <v>26</v>
      </c>
      <c r="J30" s="13">
        <v>24</v>
      </c>
      <c r="K30" s="14">
        <v>2.4363425925925927E-2</v>
      </c>
      <c r="L30" s="1">
        <f t="shared" si="3"/>
        <v>17</v>
      </c>
      <c r="M30" s="6">
        <f t="shared" si="25"/>
        <v>16</v>
      </c>
      <c r="N30" s="6">
        <f t="shared" si="26"/>
        <v>33</v>
      </c>
      <c r="P30" s="13">
        <v>26</v>
      </c>
      <c r="Q30" s="14">
        <v>4.0081018518518516E-2</v>
      </c>
      <c r="R30" s="1">
        <f t="shared" si="6"/>
        <v>15</v>
      </c>
      <c r="S30" s="6">
        <f t="shared" si="27"/>
        <v>16</v>
      </c>
      <c r="T30" s="6">
        <f t="shared" si="28"/>
        <v>31</v>
      </c>
      <c r="V30" s="13">
        <v>30</v>
      </c>
      <c r="W30" s="14">
        <v>2.6898148148148147E-2</v>
      </c>
      <c r="X30" s="1">
        <f t="shared" si="9"/>
        <v>11</v>
      </c>
      <c r="Y30" s="6">
        <f t="shared" si="10"/>
        <v>16</v>
      </c>
      <c r="Z30" s="6">
        <f t="shared" si="11"/>
        <v>27</v>
      </c>
      <c r="AB30" s="13">
        <v>25</v>
      </c>
      <c r="AC30" s="14">
        <v>5.7708333333333334E-2</v>
      </c>
      <c r="AD30" s="1">
        <f t="shared" si="12"/>
        <v>16</v>
      </c>
      <c r="AE30" s="6">
        <f t="shared" si="29"/>
        <v>16</v>
      </c>
      <c r="AF30" s="6">
        <f t="shared" si="30"/>
        <v>32</v>
      </c>
      <c r="AH30" s="13"/>
      <c r="AI30" s="14"/>
      <c r="AJ30" s="1" t="str">
        <f t="shared" si="15"/>
        <v/>
      </c>
      <c r="AK30" s="6" t="str">
        <f t="shared" si="31"/>
        <v/>
      </c>
      <c r="AL30" s="6" t="str">
        <f t="shared" si="32"/>
        <v/>
      </c>
      <c r="AN30" s="13"/>
      <c r="AO30" s="14"/>
      <c r="AP30" s="1" t="str">
        <f t="shared" si="18"/>
        <v/>
      </c>
      <c r="AQ30" s="6" t="str">
        <f t="shared" si="33"/>
        <v/>
      </c>
      <c r="AR30" s="6" t="str">
        <f t="shared" si="34"/>
        <v/>
      </c>
      <c r="AT30" s="1">
        <f t="shared" si="21"/>
        <v>69</v>
      </c>
      <c r="AU30" s="3">
        <f t="shared" si="22"/>
        <v>149</v>
      </c>
    </row>
    <row r="31" spans="1:47" x14ac:dyDescent="0.2">
      <c r="A31" s="12" t="s">
        <v>81</v>
      </c>
      <c r="B31" s="13">
        <v>3</v>
      </c>
      <c r="D31" s="13">
        <v>24</v>
      </c>
      <c r="E31" s="15">
        <v>2.8472222222222222E-2</v>
      </c>
      <c r="F31" s="1">
        <f t="shared" si="0"/>
        <v>17</v>
      </c>
      <c r="G31" s="6">
        <f t="shared" si="23"/>
        <v>16</v>
      </c>
      <c r="H31" s="6">
        <f t="shared" si="24"/>
        <v>33</v>
      </c>
      <c r="J31" s="13">
        <v>19</v>
      </c>
      <c r="K31" s="14">
        <v>2.3310185185185184E-2</v>
      </c>
      <c r="L31" s="1">
        <f t="shared" si="3"/>
        <v>22</v>
      </c>
      <c r="M31" s="6">
        <f t="shared" si="25"/>
        <v>16</v>
      </c>
      <c r="N31" s="6">
        <f t="shared" si="26"/>
        <v>38</v>
      </c>
      <c r="P31" s="13">
        <v>22</v>
      </c>
      <c r="Q31" s="14">
        <v>3.8958333333333331E-2</v>
      </c>
      <c r="R31" s="1">
        <f t="shared" si="6"/>
        <v>19</v>
      </c>
      <c r="S31" s="6">
        <f t="shared" si="27"/>
        <v>16</v>
      </c>
      <c r="T31" s="6">
        <f t="shared" si="28"/>
        <v>35</v>
      </c>
      <c r="V31" s="13">
        <v>22</v>
      </c>
      <c r="W31" s="14">
        <v>2.5763888888888888E-2</v>
      </c>
      <c r="X31" s="1">
        <f t="shared" si="9"/>
        <v>19</v>
      </c>
      <c r="Y31" s="6">
        <f t="shared" si="10"/>
        <v>16</v>
      </c>
      <c r="Z31" s="6">
        <f t="shared" si="11"/>
        <v>35</v>
      </c>
      <c r="AB31" s="13">
        <v>38</v>
      </c>
      <c r="AC31" s="14">
        <v>8.0509259259259253E-2</v>
      </c>
      <c r="AD31" s="1">
        <f t="shared" si="12"/>
        <v>3</v>
      </c>
      <c r="AE31" s="6">
        <f t="shared" si="29"/>
        <v>16</v>
      </c>
      <c r="AF31" s="6">
        <f t="shared" si="30"/>
        <v>19</v>
      </c>
      <c r="AH31" s="13"/>
      <c r="AI31" s="14"/>
      <c r="AJ31" s="1" t="str">
        <f t="shared" si="15"/>
        <v/>
      </c>
      <c r="AK31" s="6" t="str">
        <f t="shared" si="31"/>
        <v/>
      </c>
      <c r="AL31" s="6" t="str">
        <f t="shared" si="32"/>
        <v/>
      </c>
      <c r="AN31" s="13"/>
      <c r="AO31" s="14"/>
      <c r="AP31" s="1" t="str">
        <f t="shared" si="18"/>
        <v/>
      </c>
      <c r="AQ31" s="6" t="str">
        <f t="shared" si="33"/>
        <v/>
      </c>
      <c r="AR31" s="6" t="str">
        <f t="shared" si="34"/>
        <v/>
      </c>
      <c r="AT31" s="1">
        <f t="shared" si="21"/>
        <v>80</v>
      </c>
      <c r="AU31" s="3">
        <f t="shared" si="22"/>
        <v>160</v>
      </c>
    </row>
    <row r="32" spans="1:47" x14ac:dyDescent="0.2">
      <c r="A32" s="12" t="s">
        <v>101</v>
      </c>
      <c r="B32" s="13">
        <v>4</v>
      </c>
      <c r="D32" s="13">
        <v>36</v>
      </c>
      <c r="E32" s="15">
        <v>3.6006944444444446E-2</v>
      </c>
      <c r="F32" s="1">
        <f t="shared" si="0"/>
        <v>5</v>
      </c>
      <c r="G32" s="6">
        <f t="shared" si="23"/>
        <v>22</v>
      </c>
      <c r="H32" s="6">
        <f t="shared" si="24"/>
        <v>27</v>
      </c>
      <c r="J32" s="13">
        <v>37</v>
      </c>
      <c r="K32" s="14">
        <v>3.2060185185185185E-2</v>
      </c>
      <c r="L32" s="1">
        <f t="shared" si="3"/>
        <v>4</v>
      </c>
      <c r="M32" s="6">
        <f t="shared" si="25"/>
        <v>22</v>
      </c>
      <c r="N32" s="6">
        <f t="shared" si="26"/>
        <v>26</v>
      </c>
      <c r="P32" s="13">
        <v>35</v>
      </c>
      <c r="Q32" s="14">
        <v>6.039351851851852E-2</v>
      </c>
      <c r="R32" s="1">
        <f t="shared" si="6"/>
        <v>6</v>
      </c>
      <c r="S32" s="6">
        <f t="shared" si="27"/>
        <v>22</v>
      </c>
      <c r="T32" s="6">
        <f t="shared" si="28"/>
        <v>28</v>
      </c>
      <c r="V32" s="13">
        <v>35</v>
      </c>
      <c r="W32" s="14">
        <v>3.1631944444444442E-2</v>
      </c>
      <c r="X32" s="1">
        <f t="shared" si="9"/>
        <v>6</v>
      </c>
      <c r="Y32" s="6">
        <f t="shared" si="10"/>
        <v>22</v>
      </c>
      <c r="Z32" s="6">
        <f t="shared" si="11"/>
        <v>28</v>
      </c>
      <c r="AB32" s="13">
        <v>34</v>
      </c>
      <c r="AC32" s="14">
        <v>7.8425925925925927E-2</v>
      </c>
      <c r="AD32" s="1">
        <f t="shared" si="12"/>
        <v>7</v>
      </c>
      <c r="AE32" s="6">
        <f t="shared" si="29"/>
        <v>22</v>
      </c>
      <c r="AF32" s="6">
        <f t="shared" si="30"/>
        <v>29</v>
      </c>
      <c r="AH32" s="13"/>
      <c r="AI32" s="14"/>
      <c r="AJ32" s="1" t="str">
        <f t="shared" si="15"/>
        <v/>
      </c>
      <c r="AK32" s="6" t="str">
        <f t="shared" si="31"/>
        <v/>
      </c>
      <c r="AL32" s="6" t="str">
        <f t="shared" si="32"/>
        <v/>
      </c>
      <c r="AN32" s="13"/>
      <c r="AO32" s="14"/>
      <c r="AP32" s="1" t="str">
        <f t="shared" si="18"/>
        <v/>
      </c>
      <c r="AQ32" s="6" t="str">
        <f t="shared" si="33"/>
        <v/>
      </c>
      <c r="AR32" s="6" t="str">
        <f t="shared" si="34"/>
        <v/>
      </c>
      <c r="AT32" s="1">
        <f t="shared" si="21"/>
        <v>28</v>
      </c>
      <c r="AU32" s="3">
        <f t="shared" si="22"/>
        <v>138</v>
      </c>
    </row>
    <row r="33" spans="1:47" x14ac:dyDescent="0.2">
      <c r="A33" s="12" t="s">
        <v>82</v>
      </c>
      <c r="B33" s="13">
        <v>4</v>
      </c>
      <c r="D33" s="13">
        <v>33</v>
      </c>
      <c r="E33" s="15">
        <v>3.2476851851851854E-2</v>
      </c>
      <c r="F33" s="1">
        <f t="shared" si="0"/>
        <v>8</v>
      </c>
      <c r="G33" s="6">
        <f t="shared" si="23"/>
        <v>22</v>
      </c>
      <c r="H33" s="6">
        <f t="shared" si="24"/>
        <v>30</v>
      </c>
      <c r="J33" s="13">
        <v>36</v>
      </c>
      <c r="K33" s="14">
        <v>2.8680555555555556E-2</v>
      </c>
      <c r="L33" s="1">
        <f t="shared" si="3"/>
        <v>5</v>
      </c>
      <c r="M33" s="6">
        <f t="shared" si="25"/>
        <v>22</v>
      </c>
      <c r="N33" s="6">
        <f t="shared" si="26"/>
        <v>27</v>
      </c>
      <c r="P33" s="13">
        <v>34</v>
      </c>
      <c r="Q33" s="14">
        <v>5.1770833333333335E-2</v>
      </c>
      <c r="R33" s="1">
        <f t="shared" si="6"/>
        <v>7</v>
      </c>
      <c r="S33" s="6">
        <f t="shared" si="27"/>
        <v>22</v>
      </c>
      <c r="T33" s="6">
        <f t="shared" si="28"/>
        <v>29</v>
      </c>
      <c r="V33" s="13">
        <v>36</v>
      </c>
      <c r="W33" s="14">
        <v>3.2870370370370369E-2</v>
      </c>
      <c r="X33" s="1">
        <f t="shared" si="9"/>
        <v>5</v>
      </c>
      <c r="Y33" s="6">
        <f t="shared" si="10"/>
        <v>22</v>
      </c>
      <c r="Z33" s="6">
        <f t="shared" si="11"/>
        <v>27</v>
      </c>
      <c r="AB33" s="13">
        <v>32</v>
      </c>
      <c r="AC33" s="14" t="s">
        <v>122</v>
      </c>
      <c r="AD33" s="1">
        <f t="shared" si="12"/>
        <v>9</v>
      </c>
      <c r="AE33" s="6">
        <f t="shared" si="29"/>
        <v>22</v>
      </c>
      <c r="AF33" s="6">
        <f t="shared" si="30"/>
        <v>31</v>
      </c>
      <c r="AH33" s="13"/>
      <c r="AI33" s="14"/>
      <c r="AJ33" s="1" t="str">
        <f t="shared" si="15"/>
        <v/>
      </c>
      <c r="AK33" s="6" t="str">
        <f t="shared" si="31"/>
        <v/>
      </c>
      <c r="AL33" s="6" t="str">
        <f t="shared" si="32"/>
        <v/>
      </c>
      <c r="AN33" s="13"/>
      <c r="AO33" s="14"/>
      <c r="AP33" s="1" t="str">
        <f t="shared" si="18"/>
        <v/>
      </c>
      <c r="AQ33" s="6" t="str">
        <f t="shared" si="33"/>
        <v/>
      </c>
      <c r="AR33" s="6" t="str">
        <f t="shared" si="34"/>
        <v/>
      </c>
      <c r="AT33" s="1">
        <f t="shared" si="21"/>
        <v>34</v>
      </c>
      <c r="AU33" s="3">
        <f t="shared" si="22"/>
        <v>144</v>
      </c>
    </row>
    <row r="34" spans="1:47" x14ac:dyDescent="0.2">
      <c r="A34" s="12" t="s">
        <v>83</v>
      </c>
      <c r="B34" s="13">
        <v>4</v>
      </c>
      <c r="D34" s="13">
        <v>35</v>
      </c>
      <c r="E34" s="15">
        <v>3.3101851851851855E-2</v>
      </c>
      <c r="F34" s="1">
        <f t="shared" si="0"/>
        <v>6</v>
      </c>
      <c r="G34" s="6">
        <f t="shared" si="23"/>
        <v>22</v>
      </c>
      <c r="H34" s="6">
        <f t="shared" si="24"/>
        <v>28</v>
      </c>
      <c r="J34" s="13">
        <v>33</v>
      </c>
      <c r="K34" s="14">
        <v>2.6168981481481481E-2</v>
      </c>
      <c r="L34" s="1">
        <f t="shared" si="3"/>
        <v>8</v>
      </c>
      <c r="M34" s="6">
        <f t="shared" si="25"/>
        <v>22</v>
      </c>
      <c r="N34" s="6">
        <f t="shared" si="26"/>
        <v>30</v>
      </c>
      <c r="P34" s="13">
        <v>31</v>
      </c>
      <c r="Q34" s="14">
        <v>4.3668981481481482E-2</v>
      </c>
      <c r="R34" s="1">
        <f t="shared" si="6"/>
        <v>10</v>
      </c>
      <c r="S34" s="6">
        <f t="shared" si="27"/>
        <v>22</v>
      </c>
      <c r="T34" s="6">
        <f t="shared" si="28"/>
        <v>32</v>
      </c>
      <c r="V34" s="13">
        <v>32</v>
      </c>
      <c r="W34" s="14">
        <v>2.7002314814814816E-2</v>
      </c>
      <c r="X34" s="1">
        <f t="shared" si="9"/>
        <v>9</v>
      </c>
      <c r="Y34" s="6">
        <f t="shared" si="10"/>
        <v>22</v>
      </c>
      <c r="Z34" s="6">
        <f t="shared" si="11"/>
        <v>31</v>
      </c>
      <c r="AB34" s="13">
        <v>29</v>
      </c>
      <c r="AC34" s="14">
        <v>6.0428240740740741E-2</v>
      </c>
      <c r="AD34" s="1">
        <f t="shared" si="12"/>
        <v>12</v>
      </c>
      <c r="AE34" s="6">
        <f t="shared" si="29"/>
        <v>22</v>
      </c>
      <c r="AF34" s="6">
        <f t="shared" si="30"/>
        <v>34</v>
      </c>
      <c r="AH34" s="13"/>
      <c r="AI34" s="14"/>
      <c r="AJ34" s="1" t="str">
        <f t="shared" si="15"/>
        <v/>
      </c>
      <c r="AK34" s="6" t="str">
        <f t="shared" si="31"/>
        <v/>
      </c>
      <c r="AL34" s="6" t="str">
        <f t="shared" si="32"/>
        <v/>
      </c>
      <c r="AN34" s="13"/>
      <c r="AO34" s="14"/>
      <c r="AP34" s="1" t="str">
        <f t="shared" si="18"/>
        <v/>
      </c>
      <c r="AQ34" s="6" t="str">
        <f t="shared" si="33"/>
        <v/>
      </c>
      <c r="AR34" s="6" t="str">
        <f t="shared" si="34"/>
        <v/>
      </c>
      <c r="AT34" s="1">
        <f t="shared" si="21"/>
        <v>45</v>
      </c>
      <c r="AU34" s="3">
        <f t="shared" si="22"/>
        <v>155</v>
      </c>
    </row>
    <row r="35" spans="1:47" x14ac:dyDescent="0.2">
      <c r="A35" s="12" t="s">
        <v>84</v>
      </c>
      <c r="B35" s="13">
        <v>4</v>
      </c>
      <c r="D35" s="13">
        <v>28</v>
      </c>
      <c r="E35" s="15">
        <v>2.9456018518518517E-2</v>
      </c>
      <c r="F35" s="1">
        <f t="shared" si="0"/>
        <v>13</v>
      </c>
      <c r="G35" s="6">
        <f t="shared" si="23"/>
        <v>22</v>
      </c>
      <c r="H35" s="6">
        <f t="shared" si="24"/>
        <v>35</v>
      </c>
      <c r="J35" s="13">
        <v>32</v>
      </c>
      <c r="K35" s="14">
        <v>2.6111111111111113E-2</v>
      </c>
      <c r="L35" s="1">
        <f t="shared" si="3"/>
        <v>9</v>
      </c>
      <c r="M35" s="6">
        <f t="shared" si="25"/>
        <v>22</v>
      </c>
      <c r="N35" s="6">
        <f t="shared" si="26"/>
        <v>31</v>
      </c>
      <c r="P35" s="13">
        <v>32</v>
      </c>
      <c r="Q35" s="14">
        <v>4.4270833333333336E-2</v>
      </c>
      <c r="R35" s="1">
        <f t="shared" si="6"/>
        <v>9</v>
      </c>
      <c r="S35" s="6">
        <f t="shared" si="27"/>
        <v>22</v>
      </c>
      <c r="T35" s="6">
        <f t="shared" si="28"/>
        <v>31</v>
      </c>
      <c r="V35" s="13">
        <v>33</v>
      </c>
      <c r="W35" s="14">
        <v>2.7488425925925927E-2</v>
      </c>
      <c r="X35" s="1">
        <f t="shared" si="9"/>
        <v>8</v>
      </c>
      <c r="Y35" s="6">
        <f t="shared" si="10"/>
        <v>22</v>
      </c>
      <c r="Z35" s="6">
        <f t="shared" si="11"/>
        <v>30</v>
      </c>
      <c r="AB35" s="13">
        <v>28</v>
      </c>
      <c r="AC35" s="14">
        <v>6.0057870370370373E-2</v>
      </c>
      <c r="AD35" s="1">
        <f t="shared" si="12"/>
        <v>13</v>
      </c>
      <c r="AE35" s="6">
        <f t="shared" si="29"/>
        <v>22</v>
      </c>
      <c r="AF35" s="6">
        <f t="shared" si="30"/>
        <v>35</v>
      </c>
      <c r="AH35" s="13"/>
      <c r="AI35" s="14"/>
      <c r="AJ35" s="1" t="str">
        <f t="shared" si="15"/>
        <v/>
      </c>
      <c r="AK35" s="6" t="str">
        <f t="shared" si="31"/>
        <v/>
      </c>
      <c r="AL35" s="6" t="str">
        <f t="shared" si="32"/>
        <v/>
      </c>
      <c r="AN35" s="13"/>
      <c r="AO35" s="14"/>
      <c r="AP35" s="1" t="str">
        <f t="shared" si="18"/>
        <v/>
      </c>
      <c r="AQ35" s="6" t="str">
        <f t="shared" si="33"/>
        <v/>
      </c>
      <c r="AR35" s="6" t="str">
        <f t="shared" si="34"/>
        <v/>
      </c>
      <c r="AT35" s="1">
        <f t="shared" si="21"/>
        <v>52</v>
      </c>
      <c r="AU35" s="3">
        <f t="shared" si="22"/>
        <v>162</v>
      </c>
    </row>
    <row r="36" spans="1:47" x14ac:dyDescent="0.2">
      <c r="A36" s="12" t="s">
        <v>85</v>
      </c>
      <c r="B36" s="13">
        <v>4</v>
      </c>
      <c r="D36" s="13">
        <v>23</v>
      </c>
      <c r="E36" s="15">
        <v>2.8449074074074075E-2</v>
      </c>
      <c r="F36" s="1">
        <f t="shared" si="0"/>
        <v>18</v>
      </c>
      <c r="G36" s="6">
        <f t="shared" si="23"/>
        <v>22</v>
      </c>
      <c r="H36" s="6">
        <f t="shared" si="24"/>
        <v>40</v>
      </c>
      <c r="J36" s="13">
        <v>29</v>
      </c>
      <c r="K36" s="14">
        <v>2.5439814814814814E-2</v>
      </c>
      <c r="L36" s="1">
        <f t="shared" si="3"/>
        <v>12</v>
      </c>
      <c r="M36" s="6">
        <f t="shared" si="25"/>
        <v>22</v>
      </c>
      <c r="N36" s="6">
        <f t="shared" si="26"/>
        <v>34</v>
      </c>
      <c r="P36" s="13">
        <v>13</v>
      </c>
      <c r="Q36" s="14">
        <v>3.6979166666666667E-2</v>
      </c>
      <c r="R36" s="1">
        <f t="shared" si="6"/>
        <v>28</v>
      </c>
      <c r="S36" s="6">
        <f t="shared" si="27"/>
        <v>22</v>
      </c>
      <c r="T36" s="6">
        <f t="shared" si="28"/>
        <v>40</v>
      </c>
      <c r="V36" s="13">
        <v>23</v>
      </c>
      <c r="W36" s="14">
        <v>2.5983796296296297E-2</v>
      </c>
      <c r="X36" s="1">
        <f t="shared" si="9"/>
        <v>18</v>
      </c>
      <c r="Y36" s="6">
        <f t="shared" si="10"/>
        <v>22</v>
      </c>
      <c r="Z36" s="6">
        <f t="shared" si="11"/>
        <v>40</v>
      </c>
      <c r="AB36" s="13">
        <v>16</v>
      </c>
      <c r="AC36" s="14">
        <v>5.2349537037037035E-2</v>
      </c>
      <c r="AD36" s="1">
        <f t="shared" si="12"/>
        <v>25</v>
      </c>
      <c r="AE36" s="6">
        <f t="shared" si="29"/>
        <v>22</v>
      </c>
      <c r="AF36" s="6">
        <f t="shared" si="30"/>
        <v>40</v>
      </c>
      <c r="AH36" s="13"/>
      <c r="AI36" s="14"/>
      <c r="AJ36" s="1" t="str">
        <f t="shared" si="15"/>
        <v/>
      </c>
      <c r="AK36" s="6" t="str">
        <f t="shared" si="31"/>
        <v/>
      </c>
      <c r="AL36" s="6" t="str">
        <f t="shared" si="32"/>
        <v/>
      </c>
      <c r="AN36" s="13"/>
      <c r="AO36" s="14"/>
      <c r="AP36" s="1" t="str">
        <f t="shared" si="18"/>
        <v/>
      </c>
      <c r="AQ36" s="6" t="str">
        <f t="shared" si="33"/>
        <v/>
      </c>
      <c r="AR36" s="6" t="str">
        <f t="shared" si="34"/>
        <v/>
      </c>
      <c r="AT36" s="1">
        <f t="shared" si="21"/>
        <v>101</v>
      </c>
      <c r="AU36" s="3">
        <f t="shared" si="22"/>
        <v>194</v>
      </c>
    </row>
    <row r="37" spans="1:47" x14ac:dyDescent="0.2">
      <c r="A37" s="12" t="s">
        <v>86</v>
      </c>
      <c r="B37" s="13">
        <v>4</v>
      </c>
      <c r="D37" s="13">
        <v>34</v>
      </c>
      <c r="E37" s="15">
        <v>3.2766203703703707E-2</v>
      </c>
      <c r="F37" s="1">
        <f t="shared" si="0"/>
        <v>7</v>
      </c>
      <c r="G37" s="6">
        <f t="shared" si="23"/>
        <v>22</v>
      </c>
      <c r="H37" s="6">
        <f t="shared" si="24"/>
        <v>29</v>
      </c>
      <c r="J37" s="13">
        <v>34</v>
      </c>
      <c r="K37" s="14">
        <v>2.6226851851851852E-2</v>
      </c>
      <c r="L37" s="1">
        <f t="shared" si="3"/>
        <v>7</v>
      </c>
      <c r="M37" s="6">
        <f t="shared" si="25"/>
        <v>22</v>
      </c>
      <c r="N37" s="6">
        <f t="shared" si="26"/>
        <v>29</v>
      </c>
      <c r="P37" s="1">
        <v>33</v>
      </c>
      <c r="Q37" s="4">
        <v>4.4849537037037035E-2</v>
      </c>
      <c r="R37" s="1">
        <f>IF(COUNT(P$5:P$48)=0,"",IF(ISNUMBER(P38),1+POINTS_CAP_B-P38,0))</f>
        <v>12</v>
      </c>
      <c r="S37" s="6">
        <f t="shared" si="27"/>
        <v>22</v>
      </c>
      <c r="T37" s="6">
        <f t="shared" si="28"/>
        <v>34</v>
      </c>
      <c r="V37" s="13">
        <v>34</v>
      </c>
      <c r="W37" s="14">
        <v>2.8078703703703703E-2</v>
      </c>
      <c r="X37" s="1">
        <f t="shared" si="9"/>
        <v>7</v>
      </c>
      <c r="Y37" s="6">
        <f t="shared" si="10"/>
        <v>22</v>
      </c>
      <c r="Z37" s="6">
        <f t="shared" si="11"/>
        <v>29</v>
      </c>
      <c r="AB37" s="13">
        <v>31</v>
      </c>
      <c r="AC37" s="14">
        <v>6.3969907407407406E-2</v>
      </c>
      <c r="AD37" s="1">
        <f t="shared" si="12"/>
        <v>10</v>
      </c>
      <c r="AE37" s="6">
        <f t="shared" si="29"/>
        <v>22</v>
      </c>
      <c r="AF37" s="6">
        <f t="shared" si="30"/>
        <v>32</v>
      </c>
      <c r="AH37" s="13"/>
      <c r="AI37" s="14"/>
      <c r="AJ37" s="1" t="str">
        <f t="shared" si="15"/>
        <v/>
      </c>
      <c r="AK37" s="6" t="str">
        <f t="shared" si="31"/>
        <v/>
      </c>
      <c r="AL37" s="6" t="str">
        <f t="shared" si="32"/>
        <v/>
      </c>
      <c r="AN37" s="13"/>
      <c r="AO37" s="14"/>
      <c r="AP37" s="1" t="str">
        <f t="shared" si="18"/>
        <v/>
      </c>
      <c r="AQ37" s="6" t="str">
        <f t="shared" si="33"/>
        <v/>
      </c>
      <c r="AR37" s="6" t="str">
        <f t="shared" si="34"/>
        <v/>
      </c>
      <c r="AT37" s="1">
        <f t="shared" si="21"/>
        <v>43</v>
      </c>
      <c r="AU37" s="3">
        <f t="shared" si="22"/>
        <v>153</v>
      </c>
    </row>
    <row r="38" spans="1:47" x14ac:dyDescent="0.2">
      <c r="A38" s="12" t="s">
        <v>87</v>
      </c>
      <c r="B38" s="13">
        <v>4</v>
      </c>
      <c r="D38" s="13">
        <v>29</v>
      </c>
      <c r="E38" s="15">
        <v>3.0138888888888889E-2</v>
      </c>
      <c r="F38" s="1">
        <f t="shared" si="0"/>
        <v>12</v>
      </c>
      <c r="G38" s="6">
        <f t="shared" si="23"/>
        <v>22</v>
      </c>
      <c r="H38" s="6">
        <f t="shared" si="24"/>
        <v>34</v>
      </c>
      <c r="J38" s="13">
        <v>27</v>
      </c>
      <c r="K38" s="14">
        <v>2.5046296296296296E-2</v>
      </c>
      <c r="L38" s="1">
        <f t="shared" si="3"/>
        <v>14</v>
      </c>
      <c r="M38" s="6">
        <f t="shared" si="25"/>
        <v>22</v>
      </c>
      <c r="N38" s="6">
        <f t="shared" si="26"/>
        <v>36</v>
      </c>
      <c r="P38" s="13">
        <v>29</v>
      </c>
      <c r="Q38" s="14">
        <v>4.2418981481481481E-2</v>
      </c>
      <c r="R38" s="1">
        <f>IF(COUNT(P$5:P$48)=0,"",IF(ISNUMBER(#REF!),1+POINTS_CAP_B-#REF!,0))</f>
        <v>0</v>
      </c>
      <c r="S38" s="6">
        <f t="shared" si="27"/>
        <v>22</v>
      </c>
      <c r="T38" s="6">
        <f t="shared" si="28"/>
        <v>22</v>
      </c>
      <c r="V38" s="13">
        <v>25</v>
      </c>
      <c r="W38" s="14">
        <v>2.6087962962962962E-2</v>
      </c>
      <c r="X38" s="1">
        <f t="shared" si="9"/>
        <v>16</v>
      </c>
      <c r="Y38" s="6">
        <f t="shared" si="10"/>
        <v>22</v>
      </c>
      <c r="Z38" s="6">
        <f t="shared" si="11"/>
        <v>38</v>
      </c>
      <c r="AB38" s="13">
        <v>22</v>
      </c>
      <c r="AC38" s="14">
        <v>5.5243055555555552E-2</v>
      </c>
      <c r="AD38" s="1">
        <f t="shared" si="12"/>
        <v>19</v>
      </c>
      <c r="AE38" s="6">
        <f t="shared" si="29"/>
        <v>22</v>
      </c>
      <c r="AF38" s="6">
        <f t="shared" si="30"/>
        <v>40</v>
      </c>
      <c r="AH38" s="13"/>
      <c r="AI38" s="14"/>
      <c r="AJ38" s="1" t="str">
        <f t="shared" si="15"/>
        <v/>
      </c>
      <c r="AK38" s="6" t="str">
        <f t="shared" si="31"/>
        <v/>
      </c>
      <c r="AL38" s="6" t="str">
        <f t="shared" si="32"/>
        <v/>
      </c>
      <c r="AN38" s="13"/>
      <c r="AO38" s="14"/>
      <c r="AP38" s="1" t="str">
        <f t="shared" si="18"/>
        <v/>
      </c>
      <c r="AQ38" s="6" t="str">
        <f t="shared" si="33"/>
        <v/>
      </c>
      <c r="AR38" s="6" t="str">
        <f t="shared" si="34"/>
        <v/>
      </c>
      <c r="AT38" s="1">
        <f t="shared" si="21"/>
        <v>61</v>
      </c>
      <c r="AU38" s="3">
        <f t="shared" si="22"/>
        <v>170</v>
      </c>
    </row>
    <row r="39" spans="1:47" x14ac:dyDescent="0.2">
      <c r="A39" s="12" t="s">
        <v>100</v>
      </c>
      <c r="B39" s="13">
        <v>1</v>
      </c>
      <c r="D39" s="13">
        <v>3</v>
      </c>
      <c r="E39" s="15">
        <v>2.5208333333333333E-2</v>
      </c>
      <c r="F39" s="1">
        <f t="shared" si="0"/>
        <v>38</v>
      </c>
      <c r="G39" s="6">
        <f t="shared" ref="G39:G43" si="35">IF(COUNT(D$5:D$48)=0,"",
   IFERROR(CHOOSE($B39,HDCP_V_B1,HDCP_V_B2,HDCP_V_B3,HDCP_V_B4),0))</f>
        <v>0</v>
      </c>
      <c r="H39" s="6">
        <f t="shared" ref="H39:H43" si="36">IF(COUNT(D$5:D$48)=0,"",MIN(F39+G39,POINTS_CAP_B))</f>
        <v>38</v>
      </c>
      <c r="J39" s="13">
        <v>3</v>
      </c>
      <c r="K39" s="14">
        <v>2.1377314814814814E-2</v>
      </c>
      <c r="L39" s="1">
        <f t="shared" si="3"/>
        <v>38</v>
      </c>
      <c r="M39" s="6">
        <f t="shared" ref="M39:M43" si="37">IF(COUNT(J$5:J$48)=0,"",
   IFERROR(CHOOSE($B39,HDCP_V_B1,HDCP_V_B2,HDCP_V_B3,HDCP_V_B4),0))</f>
        <v>0</v>
      </c>
      <c r="N39" s="6">
        <f t="shared" ref="N39:N43" si="38">IF(COUNT(J$5:J$48)=0,"",MIN(L39+M39,POINTS_CAP_B))</f>
        <v>38</v>
      </c>
      <c r="P39" s="13">
        <v>3</v>
      </c>
      <c r="Q39" s="14">
        <v>3.4652777777777775E-2</v>
      </c>
      <c r="R39" s="1">
        <f t="shared" si="6"/>
        <v>38</v>
      </c>
      <c r="S39" s="6">
        <f t="shared" ref="S39:S43" si="39">IF(COUNT(P$5:P$48)=0,"",
   IFERROR(CHOOSE($B39,HDCP_V_B1,HDCP_V_B2,HDCP_V_B3,HDCP_V_B4),0))</f>
        <v>0</v>
      </c>
      <c r="T39" s="6">
        <f t="shared" ref="T39:T43" si="40">IF(COUNT(P$5:P$48)=0,"",MIN(R39+S39,POINTS_CAP_B))</f>
        <v>38</v>
      </c>
      <c r="V39" s="13">
        <v>3</v>
      </c>
      <c r="W39" s="14">
        <v>2.2812499999999999E-2</v>
      </c>
      <c r="X39" s="1">
        <f t="shared" si="9"/>
        <v>38</v>
      </c>
      <c r="Y39" s="6">
        <f t="shared" si="10"/>
        <v>0</v>
      </c>
      <c r="Z39" s="6">
        <f t="shared" si="11"/>
        <v>38</v>
      </c>
      <c r="AB39" s="13">
        <v>4</v>
      </c>
      <c r="AC39" s="23">
        <v>4.8946759259259259E-2</v>
      </c>
      <c r="AD39" s="1">
        <f t="shared" si="12"/>
        <v>37</v>
      </c>
      <c r="AE39" s="6">
        <f t="shared" ref="AE39:AE42" si="41">IF(COUNT(AB$5:AB$48)=0,"",
   IFERROR(CHOOSE($B39,HDCP_V_B1,HDCP_V_B2,HDCP_V_B3,HDCP_V_B4),0))</f>
        <v>0</v>
      </c>
      <c r="AF39" s="6">
        <f t="shared" ref="AF39:AF42" si="42">IF(COUNT(AB$5:AB$48)=0,"",MIN(AD39+AE39,POINTS_CAP_B))</f>
        <v>37</v>
      </c>
      <c r="AH39" s="13"/>
      <c r="AI39" s="14"/>
      <c r="AJ39" s="1" t="str">
        <f t="shared" si="15"/>
        <v/>
      </c>
      <c r="AK39" s="6" t="str">
        <f t="shared" ref="AK39:AK42" si="43">IF(COUNT(AH$5:AH$48)=0,"",
   IFERROR(CHOOSE($B39,HDCP_V_B1,HDCP_V_B2,HDCP_V_B3,HDCP_V_B4),0))</f>
        <v/>
      </c>
      <c r="AL39" s="6" t="str">
        <f t="shared" ref="AL39:AL42" si="44">IF(COUNT(AH$5:AH$48)=0,"",MIN(AJ39+AK39,POINTS_CAP_B))</f>
        <v/>
      </c>
      <c r="AN39" s="13"/>
      <c r="AO39" s="14"/>
      <c r="AP39" s="1" t="str">
        <f t="shared" si="18"/>
        <v/>
      </c>
      <c r="AQ39" s="6" t="str">
        <f t="shared" ref="AQ39:AQ42" si="45">IF(COUNT(AN$5:AN$48)=0,"",
   IFERROR(CHOOSE($B39,HDCP_V_B1,HDCP_V_B2,HDCP_V_B3,HDCP_V_B4),0))</f>
        <v/>
      </c>
      <c r="AR39" s="6" t="str">
        <f t="shared" ref="AR39:AR42" si="46">IF(COUNT(AN$5:AN$48)=0,"",MIN(AP39+AQ39,POINTS_CAP_B))</f>
        <v/>
      </c>
      <c r="AT39" s="1">
        <f t="shared" si="21"/>
        <v>189</v>
      </c>
      <c r="AU39" s="3">
        <f t="shared" si="22"/>
        <v>189</v>
      </c>
    </row>
    <row r="40" spans="1:47" x14ac:dyDescent="0.2">
      <c r="A40" s="12" t="s">
        <v>93</v>
      </c>
      <c r="B40" s="13">
        <v>2</v>
      </c>
      <c r="D40" s="13">
        <v>10</v>
      </c>
      <c r="E40" s="15">
        <v>2.6469907407407407E-2</v>
      </c>
      <c r="F40" s="1">
        <f t="shared" si="0"/>
        <v>31</v>
      </c>
      <c r="G40" s="6">
        <f t="shared" si="35"/>
        <v>8</v>
      </c>
      <c r="H40" s="6">
        <f t="shared" si="36"/>
        <v>39</v>
      </c>
      <c r="J40" s="13">
        <v>15</v>
      </c>
      <c r="K40" s="14">
        <v>2.2708333333333334E-2</v>
      </c>
      <c r="L40" s="1">
        <f t="shared" si="3"/>
        <v>26</v>
      </c>
      <c r="M40" s="6">
        <f t="shared" si="37"/>
        <v>8</v>
      </c>
      <c r="N40" s="6">
        <f t="shared" si="38"/>
        <v>34</v>
      </c>
      <c r="P40" s="13">
        <v>6</v>
      </c>
      <c r="Q40" s="14">
        <v>3.5428240740740739E-2</v>
      </c>
      <c r="R40" s="1">
        <f t="shared" si="6"/>
        <v>35</v>
      </c>
      <c r="S40" s="6">
        <f t="shared" si="39"/>
        <v>8</v>
      </c>
      <c r="T40" s="6">
        <f t="shared" si="40"/>
        <v>40</v>
      </c>
      <c r="V40" s="13">
        <v>14</v>
      </c>
      <c r="W40" s="14">
        <v>2.4155092592592593E-2</v>
      </c>
      <c r="X40" s="1">
        <f t="shared" si="9"/>
        <v>27</v>
      </c>
      <c r="Y40" s="6">
        <f t="shared" si="10"/>
        <v>8</v>
      </c>
      <c r="Z40" s="6">
        <f t="shared" si="11"/>
        <v>35</v>
      </c>
      <c r="AB40" s="13">
        <v>8</v>
      </c>
      <c r="AC40" s="14">
        <v>4.9490740740740738E-2</v>
      </c>
      <c r="AD40" s="1">
        <f t="shared" si="12"/>
        <v>33</v>
      </c>
      <c r="AE40" s="6">
        <f t="shared" si="41"/>
        <v>8</v>
      </c>
      <c r="AF40" s="6">
        <f t="shared" si="42"/>
        <v>40</v>
      </c>
      <c r="AH40" s="13"/>
      <c r="AI40" s="14"/>
      <c r="AJ40" s="1" t="str">
        <f t="shared" si="15"/>
        <v/>
      </c>
      <c r="AK40" s="6" t="str">
        <f t="shared" si="43"/>
        <v/>
      </c>
      <c r="AL40" s="6" t="str">
        <f t="shared" si="44"/>
        <v/>
      </c>
      <c r="AN40" s="13"/>
      <c r="AO40" s="14"/>
      <c r="AP40" s="1" t="str">
        <f t="shared" si="18"/>
        <v/>
      </c>
      <c r="AQ40" s="6" t="str">
        <f t="shared" si="45"/>
        <v/>
      </c>
      <c r="AR40" s="6" t="str">
        <f t="shared" si="46"/>
        <v/>
      </c>
      <c r="AT40" s="1">
        <f t="shared" si="21"/>
        <v>152</v>
      </c>
      <c r="AU40" s="3">
        <f t="shared" si="22"/>
        <v>188</v>
      </c>
    </row>
    <row r="41" spans="1:47" x14ac:dyDescent="0.2">
      <c r="A41" s="12" t="s">
        <v>102</v>
      </c>
      <c r="B41" s="13">
        <v>2</v>
      </c>
      <c r="D41" s="13">
        <v>37</v>
      </c>
      <c r="E41" s="15">
        <v>3.8090277777777778E-2</v>
      </c>
      <c r="F41" s="1">
        <f t="shared" si="0"/>
        <v>4</v>
      </c>
      <c r="G41" s="6">
        <f t="shared" si="35"/>
        <v>8</v>
      </c>
      <c r="H41" s="6">
        <f t="shared" si="36"/>
        <v>12</v>
      </c>
      <c r="J41" s="13">
        <v>38</v>
      </c>
      <c r="K41" s="14">
        <v>3.4143518518518517E-2</v>
      </c>
      <c r="L41" s="1">
        <f t="shared" si="3"/>
        <v>3</v>
      </c>
      <c r="M41" s="6">
        <f t="shared" si="37"/>
        <v>8</v>
      </c>
      <c r="N41" s="6">
        <f t="shared" si="38"/>
        <v>11</v>
      </c>
      <c r="P41" s="13">
        <v>36</v>
      </c>
      <c r="Q41" s="14">
        <v>6.2476851851851853E-2</v>
      </c>
      <c r="R41" s="1">
        <f t="shared" si="6"/>
        <v>5</v>
      </c>
      <c r="S41" s="6">
        <f t="shared" si="39"/>
        <v>8</v>
      </c>
      <c r="T41" s="6">
        <f t="shared" si="40"/>
        <v>13</v>
      </c>
      <c r="V41" s="13">
        <v>37</v>
      </c>
      <c r="W41" s="14">
        <v>3.4953703703703702E-2</v>
      </c>
      <c r="X41" s="1">
        <f t="shared" si="9"/>
        <v>4</v>
      </c>
      <c r="Y41" s="6">
        <f t="shared" si="10"/>
        <v>8</v>
      </c>
      <c r="Z41" s="6">
        <f t="shared" si="11"/>
        <v>12</v>
      </c>
      <c r="AB41" s="13">
        <v>35</v>
      </c>
      <c r="AC41" s="14">
        <v>8.0509259259259253E-2</v>
      </c>
      <c r="AD41" s="1">
        <f t="shared" si="12"/>
        <v>6</v>
      </c>
      <c r="AE41" s="6">
        <f t="shared" si="41"/>
        <v>8</v>
      </c>
      <c r="AF41" s="6">
        <f t="shared" si="42"/>
        <v>14</v>
      </c>
      <c r="AH41" s="13"/>
      <c r="AI41" s="14"/>
      <c r="AJ41" s="1" t="str">
        <f t="shared" si="15"/>
        <v/>
      </c>
      <c r="AK41" s="6" t="str">
        <f t="shared" si="43"/>
        <v/>
      </c>
      <c r="AL41" s="6" t="str">
        <f t="shared" si="44"/>
        <v/>
      </c>
      <c r="AN41" s="13"/>
      <c r="AO41" s="14"/>
      <c r="AP41" s="1" t="str">
        <f t="shared" si="18"/>
        <v/>
      </c>
      <c r="AQ41" s="6" t="str">
        <f t="shared" si="45"/>
        <v/>
      </c>
      <c r="AR41" s="6" t="str">
        <f t="shared" si="46"/>
        <v/>
      </c>
      <c r="AT41" s="1">
        <f t="shared" si="21"/>
        <v>22</v>
      </c>
      <c r="AU41" s="3">
        <f t="shared" si="22"/>
        <v>62</v>
      </c>
    </row>
    <row r="42" spans="1:47" x14ac:dyDescent="0.2">
      <c r="A42" s="12" t="s">
        <v>103</v>
      </c>
      <c r="B42" s="13">
        <v>1</v>
      </c>
      <c r="D42" s="13">
        <v>38</v>
      </c>
      <c r="E42" s="15">
        <v>3.8090277777777778E-2</v>
      </c>
      <c r="F42" s="1">
        <f t="shared" si="0"/>
        <v>3</v>
      </c>
      <c r="G42" s="6">
        <f t="shared" si="35"/>
        <v>0</v>
      </c>
      <c r="H42" s="6">
        <f t="shared" si="36"/>
        <v>3</v>
      </c>
      <c r="J42" s="13">
        <v>7</v>
      </c>
      <c r="K42" s="14">
        <v>2.2048611111111113E-2</v>
      </c>
      <c r="L42" s="1">
        <f t="shared" si="3"/>
        <v>34</v>
      </c>
      <c r="M42" s="6">
        <f t="shared" si="37"/>
        <v>0</v>
      </c>
      <c r="N42" s="6">
        <f t="shared" si="38"/>
        <v>34</v>
      </c>
      <c r="P42" s="13">
        <v>5</v>
      </c>
      <c r="Q42" s="14">
        <v>3.5324074074074077E-2</v>
      </c>
      <c r="R42" s="1">
        <f t="shared" si="6"/>
        <v>36</v>
      </c>
      <c r="S42" s="6">
        <f t="shared" si="39"/>
        <v>0</v>
      </c>
      <c r="T42" s="6">
        <f t="shared" si="40"/>
        <v>36</v>
      </c>
      <c r="V42" s="13">
        <v>9</v>
      </c>
      <c r="W42" s="14">
        <v>2.3715277777777776E-2</v>
      </c>
      <c r="X42" s="1">
        <f t="shared" si="9"/>
        <v>32</v>
      </c>
      <c r="Y42" s="6">
        <f t="shared" si="10"/>
        <v>0</v>
      </c>
      <c r="Z42" s="6">
        <f t="shared" si="11"/>
        <v>32</v>
      </c>
      <c r="AB42" s="13">
        <v>15</v>
      </c>
      <c r="AC42" s="14">
        <v>5.2210648148148145E-2</v>
      </c>
      <c r="AD42" s="1">
        <f t="shared" si="12"/>
        <v>26</v>
      </c>
      <c r="AE42" s="6">
        <f t="shared" si="41"/>
        <v>0</v>
      </c>
      <c r="AF42" s="6">
        <f t="shared" si="42"/>
        <v>26</v>
      </c>
      <c r="AH42" s="13"/>
      <c r="AI42" s="14"/>
      <c r="AJ42" s="1" t="str">
        <f t="shared" si="15"/>
        <v/>
      </c>
      <c r="AK42" s="6" t="str">
        <f t="shared" si="43"/>
        <v/>
      </c>
      <c r="AL42" s="6" t="str">
        <f t="shared" si="44"/>
        <v/>
      </c>
      <c r="AN42" s="13"/>
      <c r="AO42" s="14"/>
      <c r="AP42" s="1" t="str">
        <f t="shared" si="18"/>
        <v/>
      </c>
      <c r="AQ42" s="6" t="str">
        <f t="shared" si="45"/>
        <v/>
      </c>
      <c r="AR42" s="6" t="str">
        <f t="shared" si="46"/>
        <v/>
      </c>
      <c r="AT42" s="1">
        <f t="shared" si="21"/>
        <v>131</v>
      </c>
      <c r="AU42" s="3">
        <f t="shared" si="22"/>
        <v>131</v>
      </c>
    </row>
    <row r="43" spans="1:47" x14ac:dyDescent="0.2">
      <c r="A43" s="12" t="s">
        <v>104</v>
      </c>
      <c r="B43" s="13">
        <v>4</v>
      </c>
      <c r="D43" s="13">
        <v>39</v>
      </c>
      <c r="E43" s="15">
        <v>3.8090277777777778E-2</v>
      </c>
      <c r="F43" s="1">
        <f t="shared" si="0"/>
        <v>2</v>
      </c>
      <c r="G43" s="6">
        <f t="shared" si="35"/>
        <v>22</v>
      </c>
      <c r="H43" s="6">
        <f t="shared" si="36"/>
        <v>24</v>
      </c>
      <c r="J43" s="13">
        <v>35</v>
      </c>
      <c r="K43" s="14">
        <v>2.7997685185185184E-2</v>
      </c>
      <c r="L43" s="1">
        <f t="shared" si="3"/>
        <v>6</v>
      </c>
      <c r="M43" s="6">
        <f t="shared" si="37"/>
        <v>22</v>
      </c>
      <c r="N43" s="6">
        <f t="shared" si="38"/>
        <v>28</v>
      </c>
      <c r="P43" s="13">
        <v>40</v>
      </c>
      <c r="Q43" s="14">
        <v>6.2476851851851853E-2</v>
      </c>
      <c r="R43" s="1">
        <f t="shared" si="6"/>
        <v>1</v>
      </c>
      <c r="S43" s="6">
        <f t="shared" si="39"/>
        <v>22</v>
      </c>
      <c r="T43" s="6">
        <f t="shared" si="40"/>
        <v>23</v>
      </c>
      <c r="V43" s="13">
        <v>40</v>
      </c>
      <c r="W43" s="14">
        <v>3.4953703703703702E-2</v>
      </c>
      <c r="X43" s="1">
        <f t="shared" ref="X43:X44" si="47">IF(COUNT(V$5:V$48)=0,"",IF(ISNUMBER(V43),1+POINTS_CAP_B-V43,0))</f>
        <v>1</v>
      </c>
      <c r="Y43" s="6">
        <f t="shared" ref="Y43:Y44" si="48">IF(COUNT(V$5:V$48)=0,"",
   IFERROR(CHOOSE($B43,HDCP_V_B1,HDCP_V_B2,HDCP_V_B3,HDCP_V_B4),0))</f>
        <v>22</v>
      </c>
      <c r="Z43" s="6">
        <f t="shared" ref="Z43:Z44" si="49">IF(COUNT(V$5:V$48)=0,"",MIN(X43+Y43,POINTS_CAP_B))</f>
        <v>23</v>
      </c>
      <c r="AB43" s="13">
        <v>33</v>
      </c>
      <c r="AC43" s="14" t="s">
        <v>123</v>
      </c>
      <c r="AD43" s="1">
        <f t="shared" ref="AD43:AD44" si="50">IF(COUNT(AB$5:AB$48)=0,"",IF(ISNUMBER(AB43),1+POINTS_CAP_B-AB43,0))</f>
        <v>8</v>
      </c>
      <c r="AE43" s="6">
        <f t="shared" ref="AE43:AE44" si="51">IF(COUNT(AB$5:AB$48)=0,"",
   IFERROR(CHOOSE($B43,HDCP_V_B1,HDCP_V_B2,HDCP_V_B3,HDCP_V_B4),0))</f>
        <v>22</v>
      </c>
      <c r="AF43" s="6">
        <f t="shared" ref="AF43:AF44" si="52">IF(COUNT(AB$5:AB$48)=0,"",MIN(AD43+AE43,POINTS_CAP_B))</f>
        <v>30</v>
      </c>
      <c r="AH43" s="13"/>
      <c r="AI43" s="14"/>
      <c r="AJ43" s="1" t="str">
        <f t="shared" ref="AJ43:AJ44" si="53">IF(COUNT(AH$5:AH$48)=0,"",IF(ISNUMBER(AH43),1+POINTS_CAP_B-AH43,0))</f>
        <v/>
      </c>
      <c r="AK43" s="6" t="str">
        <f t="shared" ref="AK43:AK44" si="54">IF(COUNT(AH$5:AH$48)=0,"",
   IFERROR(CHOOSE($B43,HDCP_V_B1,HDCP_V_B2,HDCP_V_B3,HDCP_V_B4),0))</f>
        <v/>
      </c>
      <c r="AL43" s="6" t="str">
        <f t="shared" ref="AL43:AL44" si="55">IF(COUNT(AH$5:AH$48)=0,"",MIN(AJ43+AK43,POINTS_CAP_B))</f>
        <v/>
      </c>
      <c r="AN43" s="13"/>
      <c r="AO43" s="14"/>
      <c r="AP43" s="1" t="str">
        <f t="shared" ref="AP43:AP44" si="56">IF(COUNT(AN$5:AN$48)=0,"",IF(ISNUMBER(AN43),1+POINTS_CAP_B-AN43,0))</f>
        <v/>
      </c>
      <c r="AQ43" s="6" t="str">
        <f t="shared" ref="AQ43:AQ44" si="57">IF(COUNT(AN$5:AN$48)=0,"",
   IFERROR(CHOOSE($B43,HDCP_V_B1,HDCP_V_B2,HDCP_V_B3,HDCP_V_B4),0))</f>
        <v/>
      </c>
      <c r="AR43" s="6" t="str">
        <f t="shared" ref="AR43:AR44" si="58">IF(COUNT(AN$5:AN$48)=0,"",MIN(AP43+AQ43,POINTS_CAP_B))</f>
        <v/>
      </c>
      <c r="AT43" s="1">
        <f t="shared" si="21"/>
        <v>18</v>
      </c>
      <c r="AU43" s="3">
        <f t="shared" si="22"/>
        <v>128</v>
      </c>
    </row>
    <row r="44" spans="1:47" x14ac:dyDescent="0.2">
      <c r="A44" s="12" t="s">
        <v>112</v>
      </c>
      <c r="B44" s="13">
        <v>1</v>
      </c>
      <c r="D44" s="13">
        <v>40</v>
      </c>
      <c r="E44" s="14">
        <v>3.8090277777777778E-2</v>
      </c>
      <c r="F44" s="1">
        <f t="shared" ref="F44" si="59">IF(COUNT(D$5:D$48)=0,"",IF(ISNUMBER(D44),1+POINTS_CAP_B-D44,0))</f>
        <v>1</v>
      </c>
      <c r="G44" s="6">
        <f t="shared" ref="G44" si="60">IF(COUNT(D$5:D$48)=0,"",
   IFERROR(CHOOSE($B44,HDCP_V_B1,HDCP_V_B2,HDCP_V_B3,HDCP_V_B4),0))</f>
        <v>0</v>
      </c>
      <c r="H44" s="6">
        <f t="shared" ref="H44" si="61">IF(COUNT(D$5:D$48)=0,"",MIN(F44+G44,POINTS_CAP_B))</f>
        <v>1</v>
      </c>
      <c r="J44" s="13">
        <v>5</v>
      </c>
      <c r="K44" s="14">
        <v>2.1666666666666667E-2</v>
      </c>
      <c r="L44" s="1">
        <f t="shared" ref="L44" si="62">IF(COUNT(J$5:J$48)=0,"",IF(ISNUMBER(J44),1+POINTS_CAP_B-J44,0))</f>
        <v>36</v>
      </c>
      <c r="M44" s="6">
        <f t="shared" ref="M44" si="63">IF(COUNT(J$5:J$48)=0,"",
   IFERROR(CHOOSE($B44,HDCP_V_B1,HDCP_V_B2,HDCP_V_B3,HDCP_V_B4),0))</f>
        <v>0</v>
      </c>
      <c r="N44" s="6">
        <f t="shared" ref="N44" si="64">IF(COUNT(J$5:J$48)=0,"",MIN(L44+M44,POINTS_CAP_B))</f>
        <v>36</v>
      </c>
      <c r="P44" s="13">
        <v>7</v>
      </c>
      <c r="Q44" s="14">
        <v>3.5810185185185188E-2</v>
      </c>
      <c r="R44" s="1">
        <f t="shared" ref="R44" si="65">IF(COUNT(P$5:P$48)=0,"",IF(ISNUMBER(P44),1+POINTS_CAP_B-P44,0))</f>
        <v>34</v>
      </c>
      <c r="S44" s="6">
        <f t="shared" ref="S44" si="66">IF(COUNT(P$5:P$48)=0,"",
   IFERROR(CHOOSE($B44,HDCP_V_B1,HDCP_V_B2,HDCP_V_B3,HDCP_V_B4),0))</f>
        <v>0</v>
      </c>
      <c r="T44" s="6">
        <f t="shared" ref="T44" si="67">IF(COUNT(P$5:P$48)=0,"",MIN(R44+S44,POINTS_CAP_B))</f>
        <v>34</v>
      </c>
      <c r="V44" s="13">
        <v>13</v>
      </c>
      <c r="W44" s="14">
        <v>2.4108796296296295E-2</v>
      </c>
      <c r="X44" s="1">
        <f t="shared" si="47"/>
        <v>28</v>
      </c>
      <c r="Y44" s="6">
        <f t="shared" si="48"/>
        <v>0</v>
      </c>
      <c r="Z44" s="6">
        <f t="shared" si="49"/>
        <v>28</v>
      </c>
      <c r="AB44" s="13">
        <v>6</v>
      </c>
      <c r="AC44" s="14">
        <v>4.925925925925926E-2</v>
      </c>
      <c r="AD44" s="1">
        <f t="shared" si="50"/>
        <v>35</v>
      </c>
      <c r="AE44" s="6">
        <f t="shared" si="51"/>
        <v>0</v>
      </c>
      <c r="AF44" s="6">
        <f t="shared" si="52"/>
        <v>35</v>
      </c>
      <c r="AH44" s="13"/>
      <c r="AI44" s="14"/>
      <c r="AJ44" s="1" t="str">
        <f t="shared" si="53"/>
        <v/>
      </c>
      <c r="AK44" s="6" t="str">
        <f t="shared" si="54"/>
        <v/>
      </c>
      <c r="AL44" s="6" t="str">
        <f t="shared" si="55"/>
        <v/>
      </c>
      <c r="AN44" s="13"/>
      <c r="AO44" s="14"/>
      <c r="AP44" s="1" t="str">
        <f t="shared" si="56"/>
        <v/>
      </c>
      <c r="AQ44" s="6" t="str">
        <f t="shared" si="57"/>
        <v/>
      </c>
      <c r="AR44" s="6" t="str">
        <f t="shared" si="58"/>
        <v/>
      </c>
      <c r="AT44" s="1">
        <f t="shared" si="21"/>
        <v>134</v>
      </c>
      <c r="AU44" s="3">
        <f t="shared" si="22"/>
        <v>134</v>
      </c>
    </row>
    <row r="45" spans="1:47" x14ac:dyDescent="0.2">
      <c r="A45" s="12"/>
      <c r="B45" s="13"/>
      <c r="D45" s="13"/>
      <c r="E45" s="13"/>
      <c r="J45" s="13"/>
      <c r="K45" s="14"/>
      <c r="P45" s="13"/>
      <c r="Q45" s="13"/>
      <c r="V45" s="13"/>
      <c r="W45" s="13"/>
      <c r="AB45" s="13"/>
      <c r="AC45" s="13"/>
      <c r="AH45" s="13"/>
      <c r="AI45" s="13"/>
      <c r="AN45" s="13"/>
      <c r="AO45" s="13"/>
      <c r="AT45" s="1" t="str">
        <f t="shared" ref="AT45:AT55" si="68">IF(F45="","",SUM(F45,L45,R45,AD45,AJ45,AP45))</f>
        <v/>
      </c>
      <c r="AU45" s="3" t="str">
        <f t="shared" ref="AU45:AU55" si="69">IF(H45="","",SUM(H45,N45,T45,AF45,AL45,AR45))</f>
        <v/>
      </c>
    </row>
    <row r="46" spans="1:47" x14ac:dyDescent="0.2">
      <c r="A46" s="12"/>
      <c r="B46" s="13"/>
      <c r="D46" s="13"/>
      <c r="E46" s="13"/>
      <c r="J46" s="13"/>
      <c r="K46" s="13"/>
      <c r="P46" s="13"/>
      <c r="Q46" s="13"/>
      <c r="V46" s="13"/>
      <c r="W46" s="13"/>
      <c r="AB46" s="13"/>
      <c r="AC46" s="13"/>
      <c r="AH46" s="13"/>
      <c r="AI46" s="13"/>
      <c r="AN46" s="13"/>
      <c r="AO46" s="13"/>
      <c r="AT46" s="1" t="str">
        <f t="shared" si="68"/>
        <v/>
      </c>
      <c r="AU46" s="3" t="str">
        <f t="shared" si="69"/>
        <v/>
      </c>
    </row>
    <row r="47" spans="1:47" x14ac:dyDescent="0.2">
      <c r="A47" s="12"/>
      <c r="B47" s="13"/>
      <c r="D47" s="13"/>
      <c r="E47" s="13"/>
      <c r="J47" s="13"/>
      <c r="K47" s="13"/>
      <c r="P47" s="13"/>
      <c r="Q47" s="13"/>
      <c r="V47" s="13"/>
      <c r="W47" s="13"/>
      <c r="AB47" s="13"/>
      <c r="AC47" s="13"/>
      <c r="AH47" s="13"/>
      <c r="AI47" s="13"/>
      <c r="AN47" s="13"/>
      <c r="AO47" s="13"/>
      <c r="AT47" s="1" t="str">
        <f t="shared" si="68"/>
        <v/>
      </c>
      <c r="AU47" s="3" t="str">
        <f t="shared" si="69"/>
        <v/>
      </c>
    </row>
    <row r="48" spans="1:47" x14ac:dyDescent="0.2">
      <c r="A48" s="12"/>
      <c r="B48" s="13"/>
      <c r="D48" s="13"/>
      <c r="E48" s="13"/>
      <c r="J48" s="13"/>
      <c r="K48" s="13"/>
      <c r="P48" s="13"/>
      <c r="Q48" s="13"/>
      <c r="V48" s="13"/>
      <c r="W48" s="13"/>
      <c r="AB48" s="13"/>
      <c r="AC48" s="13"/>
      <c r="AH48" s="13"/>
      <c r="AI48" s="13"/>
      <c r="AN48" s="13"/>
      <c r="AO48" s="13"/>
      <c r="AT48" s="1" t="str">
        <f t="shared" si="68"/>
        <v/>
      </c>
      <c r="AU48" s="3" t="str">
        <f t="shared" si="69"/>
        <v/>
      </c>
    </row>
    <row r="49" spans="1:47" x14ac:dyDescent="0.2">
      <c r="A49" s="12"/>
      <c r="B49" s="13"/>
      <c r="D49" s="13"/>
      <c r="E49" s="13"/>
      <c r="J49" s="13"/>
      <c r="K49" s="13"/>
      <c r="P49" s="13"/>
      <c r="Q49" s="13"/>
      <c r="V49" s="13"/>
      <c r="W49" s="13"/>
      <c r="AB49" s="13"/>
      <c r="AC49" s="13"/>
      <c r="AH49" s="13"/>
      <c r="AI49" s="13"/>
      <c r="AN49" s="13"/>
      <c r="AO49" s="13"/>
      <c r="AT49" s="1" t="str">
        <f t="shared" si="68"/>
        <v/>
      </c>
      <c r="AU49" s="3" t="str">
        <f t="shared" si="69"/>
        <v/>
      </c>
    </row>
    <row r="50" spans="1:47" x14ac:dyDescent="0.2">
      <c r="A50" s="12"/>
      <c r="B50" s="13"/>
      <c r="D50" s="13"/>
      <c r="E50" s="13"/>
      <c r="J50" s="13"/>
      <c r="K50" s="13"/>
      <c r="P50" s="13"/>
      <c r="Q50" s="13"/>
      <c r="V50" s="13"/>
      <c r="W50" s="13"/>
      <c r="AB50" s="13"/>
      <c r="AC50" s="13"/>
      <c r="AH50" s="13"/>
      <c r="AI50" s="13"/>
      <c r="AN50" s="13"/>
      <c r="AO50" s="13"/>
      <c r="AT50" s="1" t="str">
        <f t="shared" si="68"/>
        <v/>
      </c>
      <c r="AU50" s="3" t="str">
        <f t="shared" si="69"/>
        <v/>
      </c>
    </row>
    <row r="51" spans="1:47" x14ac:dyDescent="0.2">
      <c r="A51" s="12"/>
      <c r="B51" s="13"/>
      <c r="D51" s="13"/>
      <c r="E51" s="13"/>
      <c r="J51" s="13"/>
      <c r="K51" s="13"/>
      <c r="P51" s="13"/>
      <c r="Q51" s="13"/>
      <c r="V51" s="13"/>
      <c r="W51" s="13"/>
      <c r="AB51" s="13"/>
      <c r="AC51" s="13"/>
      <c r="AH51" s="13"/>
      <c r="AI51" s="13"/>
      <c r="AN51" s="13"/>
      <c r="AO51" s="13"/>
      <c r="AT51" s="1" t="str">
        <f t="shared" si="68"/>
        <v/>
      </c>
      <c r="AU51" s="3" t="str">
        <f t="shared" si="69"/>
        <v/>
      </c>
    </row>
    <row r="52" spans="1:47" x14ac:dyDescent="0.2">
      <c r="A52" s="12"/>
      <c r="B52" s="13"/>
      <c r="D52" s="13"/>
      <c r="E52" s="13"/>
      <c r="J52" s="13"/>
      <c r="K52" s="13"/>
      <c r="P52" s="13"/>
      <c r="Q52" s="13"/>
      <c r="V52" s="13"/>
      <c r="W52" s="13"/>
      <c r="AB52" s="13"/>
      <c r="AC52" s="13"/>
      <c r="AH52" s="13"/>
      <c r="AI52" s="13"/>
      <c r="AN52" s="13"/>
      <c r="AO52" s="13"/>
      <c r="AT52" s="1" t="str">
        <f t="shared" si="68"/>
        <v/>
      </c>
      <c r="AU52" s="3" t="str">
        <f t="shared" si="69"/>
        <v/>
      </c>
    </row>
    <row r="53" spans="1:47" x14ac:dyDescent="0.2">
      <c r="A53" s="12"/>
      <c r="B53" s="13"/>
      <c r="D53" s="13"/>
      <c r="E53" s="13"/>
      <c r="J53" s="13"/>
      <c r="K53" s="13"/>
      <c r="P53" s="13"/>
      <c r="Q53" s="13"/>
      <c r="V53" s="13"/>
      <c r="W53" s="13"/>
      <c r="AB53" s="13"/>
      <c r="AC53" s="13"/>
      <c r="AH53" s="13"/>
      <c r="AI53" s="13"/>
      <c r="AN53" s="13"/>
      <c r="AO53" s="13"/>
      <c r="AT53" s="1" t="str">
        <f t="shared" si="68"/>
        <v/>
      </c>
      <c r="AU53" s="3" t="str">
        <f t="shared" si="69"/>
        <v/>
      </c>
    </row>
    <row r="54" spans="1:47" x14ac:dyDescent="0.2">
      <c r="A54" s="12"/>
      <c r="B54" s="13"/>
      <c r="D54" s="13"/>
      <c r="E54" s="13"/>
      <c r="J54" s="13"/>
      <c r="K54" s="13"/>
      <c r="P54" s="13"/>
      <c r="Q54" s="13"/>
      <c r="V54" s="13"/>
      <c r="W54" s="13"/>
      <c r="AB54" s="13"/>
      <c r="AC54" s="13"/>
      <c r="AH54" s="13"/>
      <c r="AI54" s="13"/>
      <c r="AN54" s="13"/>
      <c r="AO54" s="13"/>
      <c r="AT54" s="1" t="str">
        <f t="shared" si="68"/>
        <v/>
      </c>
      <c r="AU54" s="3" t="str">
        <f t="shared" si="69"/>
        <v/>
      </c>
    </row>
    <row r="55" spans="1:47" x14ac:dyDescent="0.2">
      <c r="A55" s="12"/>
      <c r="B55" s="13"/>
      <c r="D55" s="13"/>
      <c r="E55" s="13"/>
      <c r="J55" s="13"/>
      <c r="K55" s="13"/>
      <c r="P55" s="13"/>
      <c r="Q55" s="13"/>
      <c r="V55" s="13"/>
      <c r="W55" s="13"/>
      <c r="AB55" s="13"/>
      <c r="AC55" s="13"/>
      <c r="AH55" s="13"/>
      <c r="AI55" s="13"/>
      <c r="AN55" s="13"/>
      <c r="AO55" s="13"/>
      <c r="AT55" s="1" t="str">
        <f t="shared" si="68"/>
        <v/>
      </c>
      <c r="AU55" s="3" t="str">
        <f t="shared" si="69"/>
        <v/>
      </c>
    </row>
  </sheetData>
  <sheetProtection sheet="1" objects="1" scenarios="1"/>
  <mergeCells count="31">
    <mergeCell ref="AC2:AC3"/>
    <mergeCell ref="AD2:AF2"/>
    <mergeCell ref="AH2:AH3"/>
    <mergeCell ref="AI2:AI3"/>
    <mergeCell ref="AU1:AU3"/>
    <mergeCell ref="AJ2:AL2"/>
    <mergeCell ref="AN1:AR1"/>
    <mergeCell ref="AN2:AN3"/>
    <mergeCell ref="AO2:AO3"/>
    <mergeCell ref="AP2:AR2"/>
    <mergeCell ref="AT1:AT3"/>
    <mergeCell ref="D1:H1"/>
    <mergeCell ref="F2:H2"/>
    <mergeCell ref="D2:D3"/>
    <mergeCell ref="E2:E3"/>
    <mergeCell ref="J1:N1"/>
    <mergeCell ref="J2:J3"/>
    <mergeCell ref="K2:K3"/>
    <mergeCell ref="L2:N2"/>
    <mergeCell ref="P1:T1"/>
    <mergeCell ref="P2:P3"/>
    <mergeCell ref="Q2:Q3"/>
    <mergeCell ref="R2:T2"/>
    <mergeCell ref="AB1:AF1"/>
    <mergeCell ref="AH1:AL1"/>
    <mergeCell ref="AB2:AB3"/>
    <mergeCell ref="V1:Z1"/>
    <mergeCell ref="V2:V3"/>
    <mergeCell ref="W2:W3"/>
    <mergeCell ref="X2:Z2"/>
    <mergeCell ref="B1:B3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5008-081A-C64B-A495-590C82C9FBF1}">
  <dimension ref="A1:AX55"/>
  <sheetViews>
    <sheetView workbookViewId="0">
      <pane xSplit="1" topLeftCell="W1" activePane="topRight" state="frozen"/>
      <selection pane="topRight" activeCell="AC11" sqref="AC11"/>
    </sheetView>
  </sheetViews>
  <sheetFormatPr baseColWidth="10" defaultColWidth="8.83203125" defaultRowHeight="15" x14ac:dyDescent="0.2"/>
  <cols>
    <col min="1" max="1" width="16.6640625" bestFit="1" customWidth="1"/>
    <col min="2" max="2" width="9.1640625" style="1" customWidth="1"/>
    <col min="3" max="3" width="2" style="1" customWidth="1"/>
    <col min="4" max="4" width="7.5" style="1" bestFit="1" customWidth="1"/>
    <col min="5" max="5" width="8.1640625" style="1" bestFit="1" customWidth="1"/>
    <col min="6" max="6" width="8.33203125" style="1" customWidth="1"/>
    <col min="7" max="8" width="8.33203125" style="6" bestFit="1" customWidth="1"/>
    <col min="9" max="9" width="2" style="1" customWidth="1"/>
    <col min="10" max="10" width="7.5" style="1" bestFit="1" customWidth="1"/>
    <col min="11" max="11" width="8.1640625" style="1" bestFit="1" customWidth="1"/>
    <col min="12" max="12" width="8.33203125" style="1" customWidth="1"/>
    <col min="13" max="14" width="8.33203125" style="6" bestFit="1" customWidth="1"/>
    <col min="15" max="15" width="2" style="1" customWidth="1"/>
    <col min="16" max="16" width="7.5" style="1" bestFit="1" customWidth="1"/>
    <col min="17" max="17" width="8.1640625" style="1" bestFit="1" customWidth="1"/>
    <col min="18" max="18" width="8.33203125" style="1" customWidth="1"/>
    <col min="19" max="20" width="8.33203125" style="6" bestFit="1" customWidth="1"/>
    <col min="21" max="21" width="2" style="1" customWidth="1"/>
    <col min="22" max="22" width="7.5" style="1" bestFit="1" customWidth="1"/>
    <col min="23" max="23" width="8.1640625" style="1" bestFit="1" customWidth="1"/>
    <col min="24" max="24" width="8.33203125" style="1" customWidth="1"/>
    <col min="25" max="26" width="8.33203125" style="6" bestFit="1" customWidth="1"/>
    <col min="27" max="27" width="2" style="1" customWidth="1"/>
    <col min="28" max="28" width="7.5" style="1" bestFit="1" customWidth="1"/>
    <col min="29" max="29" width="8.1640625" style="1" bestFit="1" customWidth="1"/>
    <col min="30" max="30" width="8.33203125" style="1" customWidth="1"/>
    <col min="31" max="32" width="8.33203125" style="6" bestFit="1" customWidth="1"/>
    <col min="33" max="33" width="2" style="1" customWidth="1"/>
    <col min="34" max="34" width="7.5" style="1" bestFit="1" customWidth="1"/>
    <col min="35" max="35" width="8.1640625" style="1" bestFit="1" customWidth="1"/>
    <col min="36" max="36" width="8.33203125" style="1" customWidth="1"/>
    <col min="37" max="38" width="8.33203125" style="6" bestFit="1" customWidth="1"/>
    <col min="39" max="39" width="2" style="1" customWidth="1"/>
    <col min="40" max="40" width="7.5" style="1" bestFit="1" customWidth="1"/>
    <col min="41" max="41" width="8.1640625" style="1" bestFit="1" customWidth="1"/>
    <col min="42" max="42" width="8.33203125" style="1" customWidth="1"/>
    <col min="43" max="44" width="8.33203125" style="6" bestFit="1" customWidth="1"/>
    <col min="45" max="45" width="2.1640625" customWidth="1"/>
    <col min="46" max="46" width="8.5" style="1" customWidth="1"/>
    <col min="47" max="47" width="8.83203125" style="2"/>
  </cols>
  <sheetData>
    <row r="1" spans="1:50" s="2" customFormat="1" ht="16" thickBot="1" x14ac:dyDescent="0.25">
      <c r="B1" s="17" t="s">
        <v>95</v>
      </c>
      <c r="C1" s="3"/>
      <c r="D1" s="18" t="s">
        <v>18</v>
      </c>
      <c r="E1" s="18"/>
      <c r="F1" s="18"/>
      <c r="G1" s="18"/>
      <c r="H1" s="18"/>
      <c r="I1" s="3"/>
      <c r="J1" s="18" t="s">
        <v>19</v>
      </c>
      <c r="K1" s="18"/>
      <c r="L1" s="18"/>
      <c r="M1" s="18"/>
      <c r="N1" s="18"/>
      <c r="O1" s="3"/>
      <c r="P1" s="18" t="s">
        <v>110</v>
      </c>
      <c r="Q1" s="18"/>
      <c r="R1" s="18"/>
      <c r="S1" s="18"/>
      <c r="T1" s="18"/>
      <c r="U1" s="3"/>
      <c r="V1" s="18" t="s">
        <v>111</v>
      </c>
      <c r="W1" s="18"/>
      <c r="X1" s="18"/>
      <c r="Y1" s="18"/>
      <c r="Z1" s="18"/>
      <c r="AA1" s="3"/>
      <c r="AB1" s="18" t="s">
        <v>20</v>
      </c>
      <c r="AC1" s="18"/>
      <c r="AD1" s="18"/>
      <c r="AE1" s="18"/>
      <c r="AF1" s="18"/>
      <c r="AG1" s="3"/>
      <c r="AH1" s="18" t="s">
        <v>21</v>
      </c>
      <c r="AI1" s="18"/>
      <c r="AJ1" s="18"/>
      <c r="AK1" s="18"/>
      <c r="AL1" s="18"/>
      <c r="AM1" s="3"/>
      <c r="AN1" s="18" t="s">
        <v>22</v>
      </c>
      <c r="AO1" s="18"/>
      <c r="AP1" s="18"/>
      <c r="AQ1" s="18"/>
      <c r="AR1" s="18"/>
      <c r="AT1" s="17" t="s">
        <v>39</v>
      </c>
      <c r="AU1" s="17" t="s">
        <v>40</v>
      </c>
    </row>
    <row r="2" spans="1:50" s="2" customFormat="1" ht="16" customHeight="1" thickBot="1" x14ac:dyDescent="0.25">
      <c r="B2" s="17"/>
      <c r="C2" s="3"/>
      <c r="D2" s="19" t="s">
        <v>23</v>
      </c>
      <c r="E2" s="19" t="s">
        <v>25</v>
      </c>
      <c r="F2" s="21" t="s">
        <v>26</v>
      </c>
      <c r="G2" s="21"/>
      <c r="H2" s="21"/>
      <c r="I2" s="3"/>
      <c r="J2" s="19" t="s">
        <v>23</v>
      </c>
      <c r="K2" s="19" t="s">
        <v>25</v>
      </c>
      <c r="L2" s="21" t="s">
        <v>26</v>
      </c>
      <c r="M2" s="21"/>
      <c r="N2" s="21"/>
      <c r="O2" s="3"/>
      <c r="P2" s="19" t="s">
        <v>23</v>
      </c>
      <c r="Q2" s="19" t="s">
        <v>25</v>
      </c>
      <c r="R2" s="21" t="s">
        <v>26</v>
      </c>
      <c r="S2" s="21"/>
      <c r="T2" s="21"/>
      <c r="U2" s="3"/>
      <c r="V2" s="19" t="s">
        <v>23</v>
      </c>
      <c r="W2" s="19" t="s">
        <v>25</v>
      </c>
      <c r="X2" s="21" t="s">
        <v>26</v>
      </c>
      <c r="Y2" s="21"/>
      <c r="Z2" s="21"/>
      <c r="AA2" s="3"/>
      <c r="AB2" s="19" t="s">
        <v>23</v>
      </c>
      <c r="AC2" s="19" t="s">
        <v>25</v>
      </c>
      <c r="AD2" s="21" t="s">
        <v>26</v>
      </c>
      <c r="AE2" s="21"/>
      <c r="AF2" s="21"/>
      <c r="AG2" s="3"/>
      <c r="AH2" s="19" t="s">
        <v>23</v>
      </c>
      <c r="AI2" s="19" t="s">
        <v>25</v>
      </c>
      <c r="AJ2" s="21" t="s">
        <v>26</v>
      </c>
      <c r="AK2" s="21"/>
      <c r="AL2" s="21"/>
      <c r="AM2" s="3"/>
      <c r="AN2" s="19" t="s">
        <v>23</v>
      </c>
      <c r="AO2" s="19" t="s">
        <v>25</v>
      </c>
      <c r="AP2" s="21" t="s">
        <v>26</v>
      </c>
      <c r="AQ2" s="21"/>
      <c r="AR2" s="21"/>
      <c r="AT2" s="17"/>
      <c r="AU2" s="17"/>
      <c r="AW2" s="12" t="s">
        <v>96</v>
      </c>
      <c r="AX2" s="13">
        <v>7</v>
      </c>
    </row>
    <row r="3" spans="1:50" s="2" customFormat="1" x14ac:dyDescent="0.2">
      <c r="A3" s="2" t="s">
        <v>24</v>
      </c>
      <c r="B3" s="17"/>
      <c r="C3" s="3"/>
      <c r="D3" s="20"/>
      <c r="E3" s="20"/>
      <c r="F3" s="3" t="s">
        <v>35</v>
      </c>
      <c r="G3" s="5" t="s">
        <v>33</v>
      </c>
      <c r="H3" s="5" t="s">
        <v>34</v>
      </c>
      <c r="I3" s="3"/>
      <c r="J3" s="20"/>
      <c r="K3" s="20"/>
      <c r="L3" s="3" t="s">
        <v>35</v>
      </c>
      <c r="M3" s="5" t="s">
        <v>33</v>
      </c>
      <c r="N3" s="5" t="s">
        <v>34</v>
      </c>
      <c r="O3" s="3"/>
      <c r="P3" s="20"/>
      <c r="Q3" s="20"/>
      <c r="R3" s="3" t="s">
        <v>35</v>
      </c>
      <c r="S3" s="5" t="s">
        <v>33</v>
      </c>
      <c r="T3" s="5" t="s">
        <v>34</v>
      </c>
      <c r="U3" s="3"/>
      <c r="V3" s="20"/>
      <c r="W3" s="20"/>
      <c r="X3" s="3" t="s">
        <v>35</v>
      </c>
      <c r="Y3" s="5" t="s">
        <v>33</v>
      </c>
      <c r="Z3" s="5" t="s">
        <v>34</v>
      </c>
      <c r="AA3" s="3"/>
      <c r="AB3" s="20"/>
      <c r="AC3" s="20"/>
      <c r="AD3" s="3" t="s">
        <v>35</v>
      </c>
      <c r="AE3" s="5" t="s">
        <v>33</v>
      </c>
      <c r="AF3" s="5" t="s">
        <v>34</v>
      </c>
      <c r="AG3" s="3"/>
      <c r="AH3" s="20"/>
      <c r="AI3" s="20"/>
      <c r="AJ3" s="3" t="s">
        <v>35</v>
      </c>
      <c r="AK3" s="5" t="s">
        <v>33</v>
      </c>
      <c r="AL3" s="5" t="s">
        <v>34</v>
      </c>
      <c r="AM3" s="3"/>
      <c r="AN3" s="20"/>
      <c r="AO3" s="20"/>
      <c r="AP3" s="3" t="s">
        <v>35</v>
      </c>
      <c r="AQ3" s="5" t="s">
        <v>33</v>
      </c>
      <c r="AR3" s="5" t="s">
        <v>34</v>
      </c>
      <c r="AT3" s="17"/>
      <c r="AU3" s="17"/>
    </row>
    <row r="4" spans="1:50" s="2" customFormat="1" ht="7.25" customHeight="1" x14ac:dyDescent="0.2">
      <c r="B4" s="3"/>
      <c r="C4" s="3"/>
      <c r="D4" s="3"/>
      <c r="E4" s="3"/>
      <c r="F4" s="3"/>
      <c r="G4" s="5"/>
      <c r="H4" s="5"/>
      <c r="I4" s="3"/>
      <c r="J4" s="3"/>
      <c r="K4" s="3"/>
      <c r="L4" s="3"/>
      <c r="M4" s="5"/>
      <c r="N4" s="5"/>
      <c r="O4" s="3"/>
      <c r="P4" s="3"/>
      <c r="Q4" s="3"/>
      <c r="R4" s="3"/>
      <c r="S4" s="5"/>
      <c r="T4" s="5"/>
      <c r="U4" s="3"/>
      <c r="V4" s="3"/>
      <c r="W4" s="3"/>
      <c r="X4" s="3"/>
      <c r="Y4" s="5"/>
      <c r="Z4" s="5"/>
      <c r="AA4" s="3"/>
      <c r="AB4" s="3"/>
      <c r="AC4" s="3"/>
      <c r="AD4" s="3"/>
      <c r="AE4" s="5"/>
      <c r="AF4" s="5"/>
      <c r="AG4" s="3"/>
      <c r="AH4" s="3"/>
      <c r="AI4" s="3"/>
      <c r="AJ4" s="3"/>
      <c r="AK4" s="5"/>
      <c r="AL4" s="5"/>
      <c r="AM4" s="3"/>
      <c r="AN4" s="3"/>
      <c r="AO4" s="3"/>
      <c r="AP4" s="3"/>
      <c r="AQ4" s="5"/>
      <c r="AR4" s="5"/>
      <c r="AT4" s="3"/>
    </row>
    <row r="5" spans="1:50" x14ac:dyDescent="0.2">
      <c r="A5" s="12" t="s">
        <v>93</v>
      </c>
      <c r="B5" s="13">
        <v>1</v>
      </c>
      <c r="D5" s="13">
        <v>1</v>
      </c>
      <c r="E5" s="14">
        <v>2.6469907407407407E-2</v>
      </c>
      <c r="F5" s="1">
        <f t="shared" ref="F5:F11" si="0">IF(COUNT(D$5:D$48)=0,"",IF(ISNUMBER(D5),POINTS_CAP_W-D5,0))</f>
        <v>6</v>
      </c>
      <c r="G5" s="6">
        <f>IF(COUNT(D$5:D$48)=0,"",
   $B5)</f>
        <v>1</v>
      </c>
      <c r="H5" s="6">
        <f t="shared" ref="H5:H11" si="1">IF(COUNT(D$5:D$48)=0,"",MIN(F5+G5,POINTS_CAP_W))</f>
        <v>7</v>
      </c>
      <c r="J5" s="13">
        <v>1</v>
      </c>
      <c r="K5" s="14">
        <v>2.2708333333333334E-2</v>
      </c>
      <c r="L5" s="1">
        <f t="shared" ref="L5:L11" si="2">IF(COUNT(J$5:J$48)=0,"",IF(ISNUMBER(J5),POINTS_CAP_W-J5,0))</f>
        <v>6</v>
      </c>
      <c r="M5" s="6">
        <f>IF(COUNT(J$5:J$48)=0,"",
   $B5)</f>
        <v>1</v>
      </c>
      <c r="N5" s="6">
        <f t="shared" ref="N5:N11" si="3">IF(COUNT(J$5:J$48)=0,"",MIN(L5+M5,POINTS_CAP_W))</f>
        <v>7</v>
      </c>
      <c r="P5" s="13">
        <v>1</v>
      </c>
      <c r="Q5" s="14">
        <v>3.5428240740740739E-2</v>
      </c>
      <c r="R5" s="1">
        <f t="shared" ref="R5:R11" si="4">IF(COUNT(P$5:P$48)=0,"",IF(ISNUMBER(P5),POINTS_CAP_W-P5,0))</f>
        <v>6</v>
      </c>
      <c r="S5" s="6">
        <f>IF(COUNT(P$5:P$48)=0,"",
   $B5)</f>
        <v>1</v>
      </c>
      <c r="T5" s="6">
        <f t="shared" ref="T5:T11" si="5">IF(COUNT(P$5:P$48)=0,"",MIN(R5+S5,POINTS_CAP_W))</f>
        <v>7</v>
      </c>
      <c r="V5" s="13">
        <v>1</v>
      </c>
      <c r="W5" s="14">
        <v>2.4155092592592593E-2</v>
      </c>
      <c r="X5" s="1">
        <f t="shared" ref="X5:X11" si="6">IF(COUNT(V$5:V$48)=0,"",IF(ISNUMBER(V5),POINTS_CAP_W-V5,0))</f>
        <v>6</v>
      </c>
      <c r="Y5" s="6">
        <f>IF(COUNT(V$5:V$48)=0,"",
   $B5)</f>
        <v>1</v>
      </c>
      <c r="Z5" s="6">
        <f t="shared" ref="Z5:Z11" si="7">IF(COUNT(V$5:V$48)=0,"",MIN(X5+Y5,POINTS_CAP_W))</f>
        <v>7</v>
      </c>
      <c r="AB5" s="13">
        <v>2</v>
      </c>
      <c r="AC5" s="14">
        <v>4.9490740740740738E-2</v>
      </c>
      <c r="AD5" s="1">
        <f t="shared" ref="AD5:AD11" si="8">IF(COUNT(AB$5:AB$48)=0,"",IF(ISNUMBER(AB5),POINTS_CAP_W-AB5,0))</f>
        <v>5</v>
      </c>
      <c r="AE5" s="6">
        <f>IF(COUNT(AB$5:AB$48)=0,"",
   $B5)</f>
        <v>1</v>
      </c>
      <c r="AF5" s="6">
        <f t="shared" ref="AF5:AF11" si="9">IF(COUNT(AB$5:AB$48)=0,"",MIN(AD5+AE5,POINTS_CAP_W))</f>
        <v>6</v>
      </c>
      <c r="AH5" s="13"/>
      <c r="AI5" s="14"/>
      <c r="AJ5" s="1" t="str">
        <f t="shared" ref="AJ5:AJ11" si="10">IF(COUNT(AH$5:AH$48)=0,"",IF(ISNUMBER(AH5),POINTS_CAP_W-AH5,0))</f>
        <v/>
      </c>
      <c r="AK5" s="6" t="str">
        <f>IF(COUNT(AH$5:AH$48)=0,"",
   $B5)</f>
        <v/>
      </c>
      <c r="AL5" s="6" t="str">
        <f t="shared" ref="AL5:AL11" si="11">IF(COUNT(AH$5:AH$48)=0,"",MIN(AJ5+AK5,POINTS_CAP_W))</f>
        <v/>
      </c>
      <c r="AN5" s="13"/>
      <c r="AO5" s="14"/>
      <c r="AP5" s="1" t="str">
        <f t="shared" ref="AP5:AP11" si="12">IF(COUNT(AN$5:AN$48)=0,"",IF(ISNUMBER(AN5),POINTS_CAP_W-AN5,0))</f>
        <v/>
      </c>
      <c r="AQ5" s="6" t="str">
        <f>IF(COUNT(AN$5:AN$48)=0,"",
   $B5)</f>
        <v/>
      </c>
      <c r="AR5" s="6" t="str">
        <f t="shared" ref="AR5:AR11" si="13">IF(COUNT(AN$5:AN$48)=0,"",MIN(AP5+AQ5,POINTS_CAP_W))</f>
        <v/>
      </c>
      <c r="AT5" s="1">
        <f>IF(F5="","",SUM(F5,L5,R5,X5,AD5,AJ5,AP5))</f>
        <v>29</v>
      </c>
      <c r="AU5" s="3">
        <f>IF(H5="","",SUM(H5,N5,T5,Z5,AF5,AL5,AR5))</f>
        <v>34</v>
      </c>
    </row>
    <row r="6" spans="1:50" x14ac:dyDescent="0.2">
      <c r="A6" s="12" t="s">
        <v>64</v>
      </c>
      <c r="B6" s="13">
        <v>2</v>
      </c>
      <c r="D6" s="13">
        <v>2</v>
      </c>
      <c r="E6" s="14">
        <v>2.6770833333333334E-2</v>
      </c>
      <c r="F6" s="1">
        <f t="shared" si="0"/>
        <v>5</v>
      </c>
      <c r="G6" s="6">
        <f t="shared" ref="G6:G11" si="14">IF(COUNT(D$5:D$48)=0,"",
   $B6)</f>
        <v>2</v>
      </c>
      <c r="H6" s="6">
        <f t="shared" si="1"/>
        <v>7</v>
      </c>
      <c r="J6" s="13">
        <v>2</v>
      </c>
      <c r="K6" s="14">
        <v>2.2766203703703705E-2</v>
      </c>
      <c r="L6" s="1">
        <f t="shared" si="2"/>
        <v>5</v>
      </c>
      <c r="M6" s="6">
        <f t="shared" ref="M6:M11" si="15">IF(COUNT(J$5:J$48)=0,"",
   $B6)</f>
        <v>2</v>
      </c>
      <c r="N6" s="6">
        <f t="shared" si="3"/>
        <v>7</v>
      </c>
      <c r="P6" s="13">
        <v>3</v>
      </c>
      <c r="Q6" s="14">
        <v>3.784722222222222E-2</v>
      </c>
      <c r="R6" s="1">
        <f t="shared" si="4"/>
        <v>4</v>
      </c>
      <c r="S6" s="6">
        <f t="shared" ref="S6:S11" si="16">IF(COUNT(P$5:P$48)=0,"",
   $B6)</f>
        <v>2</v>
      </c>
      <c r="T6" s="6">
        <f t="shared" si="5"/>
        <v>6</v>
      </c>
      <c r="V6" s="13">
        <v>2</v>
      </c>
      <c r="W6" s="14">
        <v>2.4328703703703703E-2</v>
      </c>
      <c r="X6" s="1">
        <f t="shared" si="6"/>
        <v>5</v>
      </c>
      <c r="Y6" s="6">
        <f t="shared" ref="Y6:Y11" si="17">IF(COUNT(V$5:V$48)=0,"",
   $B6)</f>
        <v>2</v>
      </c>
      <c r="Z6" s="6">
        <f t="shared" si="7"/>
        <v>7</v>
      </c>
      <c r="AB6" s="13">
        <v>3</v>
      </c>
      <c r="AC6" s="14">
        <v>5.3680555555555558E-2</v>
      </c>
      <c r="AD6" s="1">
        <f t="shared" si="8"/>
        <v>4</v>
      </c>
      <c r="AE6" s="6">
        <f t="shared" ref="AE6:AE11" si="18">IF(COUNT(AB$5:AB$48)=0,"",
   $B6)</f>
        <v>2</v>
      </c>
      <c r="AF6" s="6">
        <f t="shared" si="9"/>
        <v>6</v>
      </c>
      <c r="AH6" s="13"/>
      <c r="AI6" s="14"/>
      <c r="AJ6" s="1" t="str">
        <f t="shared" si="10"/>
        <v/>
      </c>
      <c r="AK6" s="6" t="str">
        <f t="shared" ref="AK6:AK11" si="19">IF(COUNT(AH$5:AH$48)=0,"",
   $B6)</f>
        <v/>
      </c>
      <c r="AL6" s="6" t="str">
        <f t="shared" si="11"/>
        <v/>
      </c>
      <c r="AN6" s="13"/>
      <c r="AO6" s="14"/>
      <c r="AP6" s="1" t="str">
        <f t="shared" si="12"/>
        <v/>
      </c>
      <c r="AQ6" s="6" t="str">
        <f t="shared" ref="AQ6:AQ11" si="20">IF(COUNT(AN$5:AN$48)=0,"",
   $B6)</f>
        <v/>
      </c>
      <c r="AR6" s="6" t="str">
        <f t="shared" si="13"/>
        <v/>
      </c>
      <c r="AT6" s="1">
        <f t="shared" ref="AT6:AT11" si="21">IF(F6="","",SUM(F6,L6,R6,X6,AD6,AJ6,AP6))</f>
        <v>23</v>
      </c>
      <c r="AU6" s="3">
        <f t="shared" ref="AU6:AU11" si="22">IF(H6="","",SUM(H6,N6,T6,Z6,AF6,AL6,AR6))</f>
        <v>33</v>
      </c>
    </row>
    <row r="7" spans="1:50" x14ac:dyDescent="0.2">
      <c r="A7" s="12" t="s">
        <v>71</v>
      </c>
      <c r="B7" s="13">
        <v>2</v>
      </c>
      <c r="D7" s="13">
        <v>3</v>
      </c>
      <c r="E7" s="14">
        <v>2.6782407407407408E-2</v>
      </c>
      <c r="F7" s="1">
        <f t="shared" si="0"/>
        <v>4</v>
      </c>
      <c r="G7" s="6">
        <f t="shared" si="14"/>
        <v>2</v>
      </c>
      <c r="H7" s="6">
        <f t="shared" si="1"/>
        <v>6</v>
      </c>
      <c r="J7" s="13">
        <v>3</v>
      </c>
      <c r="K7" s="14">
        <v>2.329861111111111E-2</v>
      </c>
      <c r="L7" s="1">
        <f t="shared" si="2"/>
        <v>4</v>
      </c>
      <c r="M7" s="6">
        <f t="shared" si="15"/>
        <v>2</v>
      </c>
      <c r="N7" s="6">
        <f t="shared" si="3"/>
        <v>6</v>
      </c>
      <c r="P7" s="13">
        <v>2</v>
      </c>
      <c r="Q7" s="14">
        <v>3.6423611111111108E-2</v>
      </c>
      <c r="R7" s="1">
        <f t="shared" si="4"/>
        <v>5</v>
      </c>
      <c r="S7" s="6">
        <f t="shared" si="16"/>
        <v>2</v>
      </c>
      <c r="T7" s="6">
        <f t="shared" si="5"/>
        <v>7</v>
      </c>
      <c r="V7" s="13">
        <v>3</v>
      </c>
      <c r="W7" s="14">
        <v>2.4479166666666666E-2</v>
      </c>
      <c r="X7" s="1">
        <f t="shared" si="6"/>
        <v>4</v>
      </c>
      <c r="Y7" s="6">
        <f t="shared" si="17"/>
        <v>2</v>
      </c>
      <c r="Z7" s="6">
        <f t="shared" si="7"/>
        <v>6</v>
      </c>
      <c r="AB7" s="13">
        <v>1</v>
      </c>
      <c r="AC7" s="14">
        <v>4.9444444444444444E-2</v>
      </c>
      <c r="AD7" s="1">
        <f t="shared" si="8"/>
        <v>6</v>
      </c>
      <c r="AE7" s="6">
        <f t="shared" si="18"/>
        <v>2</v>
      </c>
      <c r="AF7" s="6">
        <f t="shared" si="9"/>
        <v>7</v>
      </c>
      <c r="AH7" s="13"/>
      <c r="AI7" s="14"/>
      <c r="AJ7" s="1" t="str">
        <f t="shared" si="10"/>
        <v/>
      </c>
      <c r="AK7" s="6" t="str">
        <f t="shared" si="19"/>
        <v/>
      </c>
      <c r="AL7" s="6" t="str">
        <f t="shared" si="11"/>
        <v/>
      </c>
      <c r="AN7" s="13"/>
      <c r="AO7" s="14"/>
      <c r="AP7" s="1" t="str">
        <f t="shared" si="12"/>
        <v/>
      </c>
      <c r="AQ7" s="6" t="str">
        <f t="shared" si="20"/>
        <v/>
      </c>
      <c r="AR7" s="6" t="str">
        <f t="shared" si="13"/>
        <v/>
      </c>
      <c r="AT7" s="1">
        <f t="shared" si="21"/>
        <v>23</v>
      </c>
      <c r="AU7" s="3">
        <f t="shared" si="22"/>
        <v>32</v>
      </c>
    </row>
    <row r="8" spans="1:50" x14ac:dyDescent="0.2">
      <c r="A8" s="12" t="s">
        <v>84</v>
      </c>
      <c r="B8" s="13">
        <v>4</v>
      </c>
      <c r="D8" s="13">
        <v>4</v>
      </c>
      <c r="E8" s="14">
        <v>2.9456018518518517E-2</v>
      </c>
      <c r="F8" s="1">
        <f t="shared" si="0"/>
        <v>3</v>
      </c>
      <c r="G8" s="6">
        <f t="shared" si="14"/>
        <v>4</v>
      </c>
      <c r="H8" s="6">
        <f t="shared" si="1"/>
        <v>7</v>
      </c>
      <c r="J8" s="13">
        <v>5</v>
      </c>
      <c r="K8" s="14">
        <v>2.6111111111111113E-2</v>
      </c>
      <c r="L8" s="1">
        <f t="shared" si="2"/>
        <v>2</v>
      </c>
      <c r="M8" s="6">
        <f t="shared" si="15"/>
        <v>4</v>
      </c>
      <c r="N8" s="6">
        <f t="shared" si="3"/>
        <v>6</v>
      </c>
      <c r="P8" s="13">
        <v>6</v>
      </c>
      <c r="Q8" s="14">
        <v>4.4270833333333336E-2</v>
      </c>
      <c r="R8" s="1">
        <f t="shared" si="4"/>
        <v>1</v>
      </c>
      <c r="S8" s="6">
        <f t="shared" si="16"/>
        <v>4</v>
      </c>
      <c r="T8" s="6">
        <f t="shared" si="5"/>
        <v>5</v>
      </c>
      <c r="V8" s="13">
        <v>6</v>
      </c>
      <c r="W8" s="14">
        <v>2.7488425925925927E-2</v>
      </c>
      <c r="X8" s="1">
        <f t="shared" si="6"/>
        <v>1</v>
      </c>
      <c r="Y8" s="6">
        <f t="shared" si="17"/>
        <v>4</v>
      </c>
      <c r="Z8" s="6">
        <f t="shared" si="7"/>
        <v>5</v>
      </c>
      <c r="AB8" s="13">
        <v>5</v>
      </c>
      <c r="AC8" s="14">
        <v>6.0057870370370373E-2</v>
      </c>
      <c r="AD8" s="1">
        <f t="shared" si="8"/>
        <v>2</v>
      </c>
      <c r="AE8" s="6">
        <f t="shared" si="18"/>
        <v>4</v>
      </c>
      <c r="AF8" s="6">
        <f t="shared" si="9"/>
        <v>6</v>
      </c>
      <c r="AH8" s="13"/>
      <c r="AI8" s="14"/>
      <c r="AJ8" s="1" t="str">
        <f t="shared" si="10"/>
        <v/>
      </c>
      <c r="AK8" s="6" t="str">
        <f t="shared" si="19"/>
        <v/>
      </c>
      <c r="AL8" s="6" t="str">
        <f t="shared" si="11"/>
        <v/>
      </c>
      <c r="AN8" s="13"/>
      <c r="AO8" s="14"/>
      <c r="AP8" s="1" t="str">
        <f t="shared" si="12"/>
        <v/>
      </c>
      <c r="AQ8" s="6" t="str">
        <f t="shared" si="20"/>
        <v/>
      </c>
      <c r="AR8" s="6" t="str">
        <f t="shared" si="13"/>
        <v/>
      </c>
      <c r="AT8" s="1">
        <f t="shared" si="21"/>
        <v>9</v>
      </c>
      <c r="AU8" s="3">
        <f t="shared" si="22"/>
        <v>29</v>
      </c>
    </row>
    <row r="9" spans="1:50" x14ac:dyDescent="0.2">
      <c r="A9" s="12" t="s">
        <v>87</v>
      </c>
      <c r="B9" s="13">
        <v>4</v>
      </c>
      <c r="D9" s="13">
        <v>5</v>
      </c>
      <c r="E9" s="14">
        <v>3.0138888888888889E-2</v>
      </c>
      <c r="F9" s="1">
        <f t="shared" si="0"/>
        <v>2</v>
      </c>
      <c r="G9" s="6">
        <f t="shared" si="14"/>
        <v>4</v>
      </c>
      <c r="H9" s="6">
        <f t="shared" si="1"/>
        <v>6</v>
      </c>
      <c r="J9" s="13">
        <v>4</v>
      </c>
      <c r="K9" s="14">
        <v>2.5046296296296296E-2</v>
      </c>
      <c r="L9" s="1">
        <f t="shared" si="2"/>
        <v>3</v>
      </c>
      <c r="M9" s="6">
        <f t="shared" si="15"/>
        <v>4</v>
      </c>
      <c r="N9" s="6">
        <f t="shared" si="3"/>
        <v>7</v>
      </c>
      <c r="P9" s="13">
        <v>4</v>
      </c>
      <c r="Q9" s="14">
        <v>4.2418981481481481E-2</v>
      </c>
      <c r="R9" s="1">
        <f t="shared" si="4"/>
        <v>3</v>
      </c>
      <c r="S9" s="6">
        <f t="shared" si="16"/>
        <v>4</v>
      </c>
      <c r="T9" s="6">
        <f t="shared" si="5"/>
        <v>7</v>
      </c>
      <c r="V9" s="13">
        <v>4</v>
      </c>
      <c r="W9" s="14">
        <v>2.6087962962962962E-2</v>
      </c>
      <c r="X9" s="1">
        <f t="shared" si="6"/>
        <v>3</v>
      </c>
      <c r="Y9" s="6">
        <f t="shared" si="17"/>
        <v>4</v>
      </c>
      <c r="Z9" s="6">
        <f t="shared" si="7"/>
        <v>7</v>
      </c>
      <c r="AB9" s="13">
        <v>4</v>
      </c>
      <c r="AC9" s="14">
        <v>5.5243055555555552E-2</v>
      </c>
      <c r="AD9" s="1">
        <f t="shared" si="8"/>
        <v>3</v>
      </c>
      <c r="AE9" s="6">
        <f t="shared" si="18"/>
        <v>4</v>
      </c>
      <c r="AF9" s="6">
        <f t="shared" si="9"/>
        <v>7</v>
      </c>
      <c r="AH9" s="13"/>
      <c r="AI9" s="14"/>
      <c r="AJ9" s="1" t="str">
        <f t="shared" si="10"/>
        <v/>
      </c>
      <c r="AK9" s="6" t="str">
        <f t="shared" si="19"/>
        <v/>
      </c>
      <c r="AL9" s="6" t="str">
        <f t="shared" si="11"/>
        <v/>
      </c>
      <c r="AN9" s="13"/>
      <c r="AO9" s="14"/>
      <c r="AP9" s="1" t="str">
        <f t="shared" si="12"/>
        <v/>
      </c>
      <c r="AQ9" s="6" t="str">
        <f t="shared" si="20"/>
        <v/>
      </c>
      <c r="AR9" s="6" t="str">
        <f t="shared" si="13"/>
        <v/>
      </c>
      <c r="AT9" s="1">
        <f t="shared" si="21"/>
        <v>14</v>
      </c>
      <c r="AU9" s="3">
        <f t="shared" si="22"/>
        <v>34</v>
      </c>
    </row>
    <row r="10" spans="1:50" x14ac:dyDescent="0.2">
      <c r="A10" s="12" t="s">
        <v>94</v>
      </c>
      <c r="B10" s="13">
        <v>4</v>
      </c>
      <c r="D10" s="13">
        <v>6</v>
      </c>
      <c r="E10" s="14">
        <v>3.2766203703703707E-2</v>
      </c>
      <c r="F10" s="1">
        <f t="shared" si="0"/>
        <v>1</v>
      </c>
      <c r="G10" s="6">
        <f t="shared" si="14"/>
        <v>4</v>
      </c>
      <c r="H10" s="6">
        <f t="shared" si="1"/>
        <v>5</v>
      </c>
      <c r="J10" s="13">
        <v>7</v>
      </c>
      <c r="K10" s="14">
        <v>2.6226851851851852E-2</v>
      </c>
      <c r="L10" s="1">
        <f t="shared" si="2"/>
        <v>0</v>
      </c>
      <c r="M10" s="6">
        <f t="shared" si="15"/>
        <v>4</v>
      </c>
      <c r="N10" s="6">
        <f t="shared" si="3"/>
        <v>4</v>
      </c>
      <c r="P10" s="13">
        <v>7</v>
      </c>
      <c r="Q10" s="14">
        <v>4.4849537037037035E-2</v>
      </c>
      <c r="R10" s="1">
        <f t="shared" si="4"/>
        <v>0</v>
      </c>
      <c r="S10" s="6">
        <f t="shared" si="16"/>
        <v>4</v>
      </c>
      <c r="T10" s="6">
        <f t="shared" si="5"/>
        <v>4</v>
      </c>
      <c r="V10" s="13">
        <v>7</v>
      </c>
      <c r="W10" s="14">
        <v>2.8078703703703703E-2</v>
      </c>
      <c r="X10" s="1">
        <f t="shared" si="6"/>
        <v>0</v>
      </c>
      <c r="Y10" s="6">
        <f t="shared" si="17"/>
        <v>4</v>
      </c>
      <c r="Z10" s="6">
        <f t="shared" si="7"/>
        <v>4</v>
      </c>
      <c r="AB10" s="13">
        <v>7</v>
      </c>
      <c r="AC10" s="14">
        <v>6.3969907407407406E-2</v>
      </c>
      <c r="AD10" s="1">
        <f t="shared" si="8"/>
        <v>0</v>
      </c>
      <c r="AE10" s="6">
        <f t="shared" si="18"/>
        <v>4</v>
      </c>
      <c r="AF10" s="6">
        <f t="shared" si="9"/>
        <v>4</v>
      </c>
      <c r="AH10" s="13"/>
      <c r="AI10" s="14"/>
      <c r="AJ10" s="1" t="str">
        <f t="shared" si="10"/>
        <v/>
      </c>
      <c r="AK10" s="6" t="str">
        <f t="shared" si="19"/>
        <v/>
      </c>
      <c r="AL10" s="6" t="str">
        <f t="shared" si="11"/>
        <v/>
      </c>
      <c r="AN10" s="13"/>
      <c r="AO10" s="14"/>
      <c r="AP10" s="1" t="str">
        <f t="shared" si="12"/>
        <v/>
      </c>
      <c r="AQ10" s="6" t="str">
        <f t="shared" si="20"/>
        <v/>
      </c>
      <c r="AR10" s="6" t="str">
        <f t="shared" si="13"/>
        <v/>
      </c>
      <c r="AT10" s="1">
        <f t="shared" si="21"/>
        <v>1</v>
      </c>
      <c r="AU10" s="3">
        <f t="shared" si="22"/>
        <v>21</v>
      </c>
    </row>
    <row r="11" spans="1:50" x14ac:dyDescent="0.2">
      <c r="A11" s="12" t="s">
        <v>83</v>
      </c>
      <c r="B11" s="13">
        <v>4</v>
      </c>
      <c r="D11" s="13">
        <v>7</v>
      </c>
      <c r="E11" s="14">
        <v>3.3101851851851855E-2</v>
      </c>
      <c r="F11" s="1">
        <f t="shared" si="0"/>
        <v>0</v>
      </c>
      <c r="G11" s="6">
        <f t="shared" si="14"/>
        <v>4</v>
      </c>
      <c r="H11" s="6">
        <f t="shared" si="1"/>
        <v>4</v>
      </c>
      <c r="J11" s="13">
        <v>6</v>
      </c>
      <c r="K11" s="14">
        <v>2.6168981481481481E-2</v>
      </c>
      <c r="L11" s="1">
        <f t="shared" si="2"/>
        <v>1</v>
      </c>
      <c r="M11" s="6">
        <f t="shared" si="15"/>
        <v>4</v>
      </c>
      <c r="N11" s="6">
        <f t="shared" si="3"/>
        <v>5</v>
      </c>
      <c r="P11" s="13">
        <v>5</v>
      </c>
      <c r="Q11" s="14">
        <v>4.3668981481481482E-2</v>
      </c>
      <c r="R11" s="1">
        <f t="shared" si="4"/>
        <v>2</v>
      </c>
      <c r="S11" s="6">
        <f t="shared" si="16"/>
        <v>4</v>
      </c>
      <c r="T11" s="6">
        <f t="shared" si="5"/>
        <v>6</v>
      </c>
      <c r="V11" s="13">
        <v>5</v>
      </c>
      <c r="W11" s="14">
        <v>2.7002314814814816E-2</v>
      </c>
      <c r="X11" s="1">
        <f t="shared" si="6"/>
        <v>2</v>
      </c>
      <c r="Y11" s="6">
        <f t="shared" si="17"/>
        <v>4</v>
      </c>
      <c r="Z11" s="6">
        <f t="shared" si="7"/>
        <v>6</v>
      </c>
      <c r="AB11" s="13">
        <v>6</v>
      </c>
      <c r="AC11" s="14">
        <v>6.0428240740740741E-2</v>
      </c>
      <c r="AD11" s="1">
        <f t="shared" si="8"/>
        <v>1</v>
      </c>
      <c r="AE11" s="6">
        <f t="shared" si="18"/>
        <v>4</v>
      </c>
      <c r="AF11" s="6">
        <f t="shared" si="9"/>
        <v>5</v>
      </c>
      <c r="AH11" s="13"/>
      <c r="AI11" s="14"/>
      <c r="AJ11" s="1" t="str">
        <f t="shared" si="10"/>
        <v/>
      </c>
      <c r="AK11" s="6" t="str">
        <f t="shared" si="19"/>
        <v/>
      </c>
      <c r="AL11" s="6" t="str">
        <f t="shared" si="11"/>
        <v/>
      </c>
      <c r="AN11" s="13"/>
      <c r="AO11" s="14"/>
      <c r="AP11" s="1" t="str">
        <f t="shared" si="12"/>
        <v/>
      </c>
      <c r="AQ11" s="6" t="str">
        <f t="shared" si="20"/>
        <v/>
      </c>
      <c r="AR11" s="6" t="str">
        <f t="shared" si="13"/>
        <v/>
      </c>
      <c r="AT11" s="1">
        <f t="shared" si="21"/>
        <v>6</v>
      </c>
      <c r="AU11" s="3">
        <f t="shared" si="22"/>
        <v>26</v>
      </c>
    </row>
    <row r="12" spans="1:50" x14ac:dyDescent="0.2">
      <c r="A12" s="12"/>
      <c r="B12" s="13"/>
      <c r="D12" s="13"/>
      <c r="E12" s="14"/>
      <c r="J12" s="13"/>
      <c r="K12" s="14"/>
      <c r="P12" s="13"/>
      <c r="Q12" s="14"/>
      <c r="V12" s="13"/>
      <c r="W12" s="14"/>
      <c r="AB12" s="13"/>
      <c r="AC12" s="14"/>
      <c r="AH12" s="13"/>
      <c r="AI12" s="14"/>
      <c r="AN12" s="13"/>
      <c r="AO12" s="14"/>
      <c r="AU12" s="3"/>
    </row>
    <row r="13" spans="1:50" x14ac:dyDescent="0.2">
      <c r="A13" s="12"/>
      <c r="B13" s="13"/>
      <c r="D13" s="13"/>
      <c r="E13" s="14"/>
      <c r="J13" s="13"/>
      <c r="K13" s="14"/>
      <c r="P13" s="13"/>
      <c r="Q13" s="14"/>
      <c r="V13" s="13"/>
      <c r="W13" s="14"/>
      <c r="AB13" s="13"/>
      <c r="AC13" s="14"/>
      <c r="AH13" s="13"/>
      <c r="AI13" s="14"/>
      <c r="AN13" s="13"/>
      <c r="AO13" s="14"/>
      <c r="AU13" s="3"/>
    </row>
    <row r="14" spans="1:50" x14ac:dyDescent="0.2">
      <c r="D14" s="13"/>
      <c r="E14" s="14"/>
      <c r="J14" s="13"/>
      <c r="K14" s="14"/>
      <c r="P14" s="13"/>
      <c r="Q14" s="14"/>
      <c r="V14" s="13"/>
      <c r="W14" s="14"/>
      <c r="AB14" s="13"/>
      <c r="AC14" s="14"/>
      <c r="AH14" s="13"/>
      <c r="AI14" s="14"/>
      <c r="AN14" s="13"/>
      <c r="AO14" s="14"/>
      <c r="AU14" s="3"/>
    </row>
    <row r="15" spans="1:50" x14ac:dyDescent="0.2">
      <c r="A15" s="12"/>
      <c r="B15" s="13"/>
      <c r="D15" s="13"/>
      <c r="E15" s="14"/>
      <c r="J15" s="13"/>
      <c r="K15" s="14"/>
      <c r="P15" s="13"/>
      <c r="Q15" s="14"/>
      <c r="V15" s="13"/>
      <c r="W15" s="14"/>
      <c r="AB15" s="13"/>
      <c r="AC15" s="14"/>
      <c r="AH15" s="13"/>
      <c r="AI15" s="14"/>
      <c r="AN15" s="13"/>
      <c r="AO15" s="14"/>
      <c r="AU15" s="3"/>
    </row>
    <row r="16" spans="1:50" x14ac:dyDescent="0.2">
      <c r="A16" s="12"/>
      <c r="B16" s="13"/>
      <c r="D16" s="13"/>
      <c r="E16" s="14"/>
      <c r="J16" s="13"/>
      <c r="K16" s="14"/>
      <c r="P16" s="13"/>
      <c r="Q16" s="14"/>
      <c r="V16" s="13"/>
      <c r="W16" s="14"/>
      <c r="AB16" s="13"/>
      <c r="AC16" s="14"/>
      <c r="AH16" s="13"/>
      <c r="AI16" s="14"/>
      <c r="AN16" s="13"/>
      <c r="AO16" s="14"/>
      <c r="AU16" s="3"/>
    </row>
    <row r="17" spans="1:47" x14ac:dyDescent="0.2">
      <c r="A17" s="12"/>
      <c r="B17" s="13"/>
      <c r="D17" s="13"/>
      <c r="E17" s="14"/>
      <c r="J17" s="13"/>
      <c r="K17" s="14"/>
      <c r="P17" s="13"/>
      <c r="Q17" s="14"/>
      <c r="V17" s="13"/>
      <c r="W17" s="14"/>
      <c r="AB17" s="13"/>
      <c r="AC17" s="14"/>
      <c r="AH17" s="13"/>
      <c r="AI17" s="14"/>
      <c r="AN17" s="13"/>
      <c r="AO17" s="14"/>
      <c r="AU17" s="3"/>
    </row>
    <row r="18" spans="1:47" x14ac:dyDescent="0.2">
      <c r="A18" s="12"/>
      <c r="B18" s="13"/>
      <c r="D18" s="13"/>
      <c r="E18" s="14"/>
      <c r="J18" s="13"/>
      <c r="K18" s="14"/>
      <c r="P18" s="13"/>
      <c r="Q18" s="14"/>
      <c r="V18" s="13"/>
      <c r="W18" s="14"/>
      <c r="AB18" s="13"/>
      <c r="AC18" s="14"/>
      <c r="AH18" s="13"/>
      <c r="AI18" s="14"/>
      <c r="AN18" s="13"/>
      <c r="AO18" s="14"/>
      <c r="AU18" s="3"/>
    </row>
    <row r="19" spans="1:47" x14ac:dyDescent="0.2">
      <c r="A19" s="12"/>
      <c r="B19" s="13"/>
      <c r="D19" s="13"/>
      <c r="E19" s="14"/>
      <c r="J19" s="13"/>
      <c r="K19" s="14"/>
      <c r="P19" s="13"/>
      <c r="Q19" s="14"/>
      <c r="V19" s="13"/>
      <c r="W19" s="14"/>
      <c r="AB19" s="13"/>
      <c r="AC19" s="14"/>
      <c r="AH19" s="13"/>
      <c r="AI19" s="14"/>
      <c r="AN19" s="13"/>
      <c r="AO19" s="14"/>
      <c r="AU19" s="3"/>
    </row>
    <row r="20" spans="1:47" x14ac:dyDescent="0.2">
      <c r="A20" s="12"/>
      <c r="B20" s="13"/>
      <c r="D20" s="13"/>
      <c r="E20" s="14"/>
      <c r="J20" s="13"/>
      <c r="K20" s="14"/>
      <c r="P20" s="13"/>
      <c r="Q20" s="14"/>
      <c r="V20" s="13"/>
      <c r="W20" s="14"/>
      <c r="AB20" s="13"/>
      <c r="AC20" s="14"/>
      <c r="AH20" s="13"/>
      <c r="AI20" s="14"/>
      <c r="AN20" s="13"/>
      <c r="AO20" s="14"/>
      <c r="AU20" s="3"/>
    </row>
    <row r="21" spans="1:47" x14ac:dyDescent="0.2">
      <c r="A21" s="12"/>
      <c r="B21" s="13"/>
      <c r="D21" s="13"/>
      <c r="E21" s="14"/>
      <c r="J21" s="13"/>
      <c r="K21" s="14"/>
      <c r="P21" s="13"/>
      <c r="Q21" s="14"/>
      <c r="V21" s="13"/>
      <c r="W21" s="14"/>
      <c r="AB21" s="13"/>
      <c r="AC21" s="14"/>
      <c r="AH21" s="13"/>
      <c r="AI21" s="14"/>
      <c r="AN21" s="13"/>
      <c r="AO21" s="14"/>
      <c r="AU21" s="3"/>
    </row>
    <row r="22" spans="1:47" x14ac:dyDescent="0.2">
      <c r="A22" s="12"/>
      <c r="B22" s="13"/>
      <c r="D22" s="13"/>
      <c r="E22" s="14"/>
      <c r="J22" s="13"/>
      <c r="K22" s="14"/>
      <c r="P22" s="13"/>
      <c r="Q22" s="14"/>
      <c r="V22" s="13"/>
      <c r="W22" s="14"/>
      <c r="AB22" s="13"/>
      <c r="AC22" s="14"/>
      <c r="AH22" s="13"/>
      <c r="AI22" s="14"/>
      <c r="AN22" s="13"/>
      <c r="AO22" s="14"/>
      <c r="AU22" s="3"/>
    </row>
    <row r="23" spans="1:47" x14ac:dyDescent="0.2">
      <c r="A23" s="12"/>
      <c r="B23" s="13"/>
      <c r="D23" s="13"/>
      <c r="E23" s="14"/>
      <c r="J23" s="13"/>
      <c r="K23" s="14"/>
      <c r="P23" s="13"/>
      <c r="Q23" s="14"/>
      <c r="V23" s="13"/>
      <c r="W23" s="14"/>
      <c r="AB23" s="13"/>
      <c r="AC23" s="14"/>
      <c r="AH23" s="13"/>
      <c r="AI23" s="14"/>
      <c r="AN23" s="13"/>
      <c r="AO23" s="14"/>
      <c r="AU23" s="3"/>
    </row>
    <row r="24" spans="1:47" x14ac:dyDescent="0.2">
      <c r="A24" s="12"/>
      <c r="B24" s="13"/>
      <c r="D24" s="13"/>
      <c r="E24" s="14"/>
      <c r="J24" s="13"/>
      <c r="K24" s="14"/>
      <c r="P24" s="13"/>
      <c r="Q24" s="14"/>
      <c r="V24" s="13"/>
      <c r="W24" s="14"/>
      <c r="AB24" s="13"/>
      <c r="AC24" s="14"/>
      <c r="AH24" s="13"/>
      <c r="AI24" s="14"/>
      <c r="AN24" s="13"/>
      <c r="AO24" s="14"/>
      <c r="AU24" s="3"/>
    </row>
    <row r="25" spans="1:47" x14ac:dyDescent="0.2">
      <c r="A25" s="12"/>
      <c r="B25" s="13"/>
      <c r="D25" s="13"/>
      <c r="E25" s="14"/>
      <c r="J25" s="13"/>
      <c r="K25" s="14"/>
      <c r="P25" s="13"/>
      <c r="Q25" s="14"/>
      <c r="V25" s="13"/>
      <c r="W25" s="14"/>
      <c r="AB25" s="13"/>
      <c r="AC25" s="14"/>
      <c r="AH25" s="13"/>
      <c r="AI25" s="14"/>
      <c r="AN25" s="13"/>
      <c r="AO25" s="14"/>
      <c r="AU25" s="3"/>
    </row>
    <row r="26" spans="1:47" x14ac:dyDescent="0.2">
      <c r="A26" s="12"/>
      <c r="B26" s="13"/>
      <c r="D26" s="13"/>
      <c r="E26" s="14"/>
      <c r="J26" s="13"/>
      <c r="K26" s="14"/>
      <c r="P26" s="13"/>
      <c r="Q26" s="14"/>
      <c r="V26" s="13"/>
      <c r="W26" s="14"/>
      <c r="AB26" s="13"/>
      <c r="AC26" s="14"/>
      <c r="AH26" s="13"/>
      <c r="AI26" s="14"/>
      <c r="AN26" s="13"/>
      <c r="AO26" s="14"/>
      <c r="AU26" s="3"/>
    </row>
    <row r="27" spans="1:47" x14ac:dyDescent="0.2">
      <c r="A27" s="12"/>
      <c r="B27" s="13"/>
      <c r="D27" s="13"/>
      <c r="E27" s="14"/>
      <c r="J27" s="13"/>
      <c r="K27" s="14"/>
      <c r="P27" s="13"/>
      <c r="Q27" s="14"/>
      <c r="V27" s="13"/>
      <c r="W27" s="14"/>
      <c r="AB27" s="13"/>
      <c r="AC27" s="14"/>
      <c r="AH27" s="13"/>
      <c r="AI27" s="14"/>
      <c r="AN27" s="13"/>
      <c r="AO27" s="14"/>
      <c r="AU27" s="3"/>
    </row>
    <row r="28" spans="1:47" x14ac:dyDescent="0.2">
      <c r="A28" s="12"/>
      <c r="B28" s="13"/>
      <c r="D28" s="13"/>
      <c r="E28" s="14"/>
      <c r="J28" s="13"/>
      <c r="K28" s="14"/>
      <c r="P28" s="13"/>
      <c r="Q28" s="14"/>
      <c r="V28" s="13"/>
      <c r="W28" s="14"/>
      <c r="AB28" s="13"/>
      <c r="AC28" s="14"/>
      <c r="AH28" s="13"/>
      <c r="AI28" s="14"/>
      <c r="AN28" s="13"/>
      <c r="AO28" s="14"/>
      <c r="AU28" s="3"/>
    </row>
    <row r="29" spans="1:47" x14ac:dyDescent="0.2">
      <c r="A29" s="12"/>
      <c r="B29" s="13"/>
      <c r="D29" s="13"/>
      <c r="E29" s="14"/>
      <c r="J29" s="13"/>
      <c r="K29" s="14"/>
      <c r="P29" s="13"/>
      <c r="Q29" s="14"/>
      <c r="V29" s="13"/>
      <c r="W29" s="14"/>
      <c r="AB29" s="13"/>
      <c r="AC29" s="14"/>
      <c r="AH29" s="13"/>
      <c r="AI29" s="14"/>
      <c r="AN29" s="13"/>
      <c r="AO29" s="14"/>
      <c r="AU29" s="3"/>
    </row>
    <row r="30" spans="1:47" x14ac:dyDescent="0.2">
      <c r="A30" s="12"/>
      <c r="B30" s="13"/>
      <c r="D30" s="13"/>
      <c r="E30" s="14"/>
      <c r="J30" s="13"/>
      <c r="K30" s="14"/>
      <c r="P30" s="13"/>
      <c r="Q30" s="14"/>
      <c r="V30" s="13"/>
      <c r="W30" s="14"/>
      <c r="AB30" s="13"/>
      <c r="AC30" s="14"/>
      <c r="AH30" s="13"/>
      <c r="AI30" s="14"/>
      <c r="AN30" s="13"/>
      <c r="AO30" s="14"/>
      <c r="AU30" s="3"/>
    </row>
    <row r="31" spans="1:47" x14ac:dyDescent="0.2">
      <c r="A31" s="12"/>
      <c r="B31" s="13"/>
      <c r="D31" s="13"/>
      <c r="E31" s="14"/>
      <c r="J31" s="13"/>
      <c r="K31" s="14"/>
      <c r="P31" s="13"/>
      <c r="Q31" s="14"/>
      <c r="V31" s="13"/>
      <c r="W31" s="14"/>
      <c r="AB31" s="13"/>
      <c r="AC31" s="14"/>
      <c r="AH31" s="13"/>
      <c r="AI31" s="14"/>
      <c r="AN31" s="13"/>
      <c r="AO31" s="14"/>
      <c r="AU31" s="3"/>
    </row>
    <row r="32" spans="1:47" x14ac:dyDescent="0.2">
      <c r="A32" s="12"/>
      <c r="B32" s="13"/>
      <c r="D32" s="13"/>
      <c r="E32" s="14"/>
      <c r="J32" s="13"/>
      <c r="K32" s="14"/>
      <c r="P32" s="13"/>
      <c r="Q32" s="14"/>
      <c r="V32" s="13"/>
      <c r="W32" s="14"/>
      <c r="AB32" s="13"/>
      <c r="AC32" s="14"/>
      <c r="AH32" s="13"/>
      <c r="AI32" s="14"/>
      <c r="AN32" s="13"/>
      <c r="AO32" s="14"/>
      <c r="AU32" s="3"/>
    </row>
    <row r="33" spans="1:47" x14ac:dyDescent="0.2">
      <c r="A33" s="12"/>
      <c r="B33" s="13"/>
      <c r="D33" s="13"/>
      <c r="E33" s="14"/>
      <c r="J33" s="13"/>
      <c r="K33" s="14"/>
      <c r="P33" s="13"/>
      <c r="Q33" s="14"/>
      <c r="V33" s="13"/>
      <c r="W33" s="14"/>
      <c r="AB33" s="13"/>
      <c r="AC33" s="14"/>
      <c r="AH33" s="13"/>
      <c r="AI33" s="14"/>
      <c r="AN33" s="13"/>
      <c r="AO33" s="14"/>
      <c r="AU33" s="3"/>
    </row>
    <row r="34" spans="1:47" x14ac:dyDescent="0.2">
      <c r="A34" s="12"/>
      <c r="B34" s="13"/>
      <c r="D34" s="13"/>
      <c r="E34" s="14"/>
      <c r="J34" s="13"/>
      <c r="K34" s="14"/>
      <c r="P34" s="13"/>
      <c r="Q34" s="14"/>
      <c r="V34" s="13"/>
      <c r="W34" s="14"/>
      <c r="AB34" s="13"/>
      <c r="AC34" s="14"/>
      <c r="AH34" s="13"/>
      <c r="AI34" s="14"/>
      <c r="AN34" s="13"/>
      <c r="AO34" s="14"/>
      <c r="AU34" s="3"/>
    </row>
    <row r="35" spans="1:47" x14ac:dyDescent="0.2">
      <c r="A35" s="12"/>
      <c r="B35" s="13"/>
      <c r="D35" s="13"/>
      <c r="E35" s="14"/>
      <c r="J35" s="13"/>
      <c r="K35" s="14"/>
      <c r="P35" s="13"/>
      <c r="Q35" s="14"/>
      <c r="V35" s="13"/>
      <c r="W35" s="14"/>
      <c r="AB35" s="13"/>
      <c r="AC35" s="14"/>
      <c r="AH35" s="13"/>
      <c r="AI35" s="14"/>
      <c r="AN35" s="13"/>
      <c r="AO35" s="14"/>
      <c r="AU35" s="3"/>
    </row>
    <row r="36" spans="1:47" x14ac:dyDescent="0.2">
      <c r="A36" s="12"/>
      <c r="B36" s="13"/>
      <c r="D36" s="13"/>
      <c r="E36" s="14"/>
      <c r="J36" s="13"/>
      <c r="K36" s="14"/>
      <c r="P36" s="13"/>
      <c r="Q36" s="14"/>
      <c r="V36" s="13"/>
      <c r="W36" s="14"/>
      <c r="AB36" s="13"/>
      <c r="AC36" s="14"/>
      <c r="AH36" s="13"/>
      <c r="AI36" s="14"/>
      <c r="AN36" s="13"/>
      <c r="AO36" s="14"/>
      <c r="AU36" s="3"/>
    </row>
    <row r="37" spans="1:47" x14ac:dyDescent="0.2">
      <c r="A37" s="12"/>
      <c r="B37" s="13"/>
      <c r="D37" s="13"/>
      <c r="E37" s="14"/>
      <c r="J37" s="13"/>
      <c r="K37" s="14"/>
      <c r="P37" s="13"/>
      <c r="Q37" s="14"/>
      <c r="V37" s="13"/>
      <c r="W37" s="14"/>
      <c r="AB37" s="13"/>
      <c r="AC37" s="14"/>
      <c r="AH37" s="13"/>
      <c r="AI37" s="14"/>
      <c r="AN37" s="13"/>
      <c r="AO37" s="14"/>
      <c r="AU37" s="3"/>
    </row>
    <row r="38" spans="1:47" x14ac:dyDescent="0.2">
      <c r="A38" s="12"/>
      <c r="B38" s="13"/>
      <c r="D38" s="13"/>
      <c r="E38" s="14"/>
      <c r="J38" s="13"/>
      <c r="K38" s="14"/>
      <c r="P38" s="13"/>
      <c r="Q38" s="14"/>
      <c r="V38" s="13"/>
      <c r="W38" s="14"/>
      <c r="AB38" s="13"/>
      <c r="AC38" s="14"/>
      <c r="AH38" s="13"/>
      <c r="AI38" s="14"/>
      <c r="AN38" s="13"/>
      <c r="AO38" s="14"/>
      <c r="AU38" s="3"/>
    </row>
    <row r="39" spans="1:47" x14ac:dyDescent="0.2">
      <c r="A39" s="12"/>
      <c r="B39" s="13"/>
      <c r="D39" s="13"/>
      <c r="E39" s="13"/>
      <c r="J39" s="13"/>
      <c r="K39" s="14"/>
      <c r="P39" s="13"/>
      <c r="Q39" s="13"/>
      <c r="V39" s="13"/>
      <c r="W39" s="13"/>
      <c r="AB39" s="13"/>
      <c r="AC39" s="13"/>
      <c r="AH39" s="13"/>
      <c r="AI39" s="13"/>
      <c r="AN39" s="13"/>
      <c r="AO39" s="13"/>
      <c r="AU39" s="3"/>
    </row>
    <row r="40" spans="1:47" x14ac:dyDescent="0.2">
      <c r="A40" s="12"/>
      <c r="B40" s="13"/>
      <c r="D40" s="13"/>
      <c r="E40" s="13"/>
      <c r="J40" s="13"/>
      <c r="K40" s="14"/>
      <c r="P40" s="13"/>
      <c r="Q40" s="13"/>
      <c r="V40" s="13"/>
      <c r="W40" s="13"/>
      <c r="AB40" s="13"/>
      <c r="AC40" s="13"/>
      <c r="AH40" s="13"/>
      <c r="AI40" s="13"/>
      <c r="AN40" s="13"/>
      <c r="AO40" s="13"/>
      <c r="AU40" s="3"/>
    </row>
    <row r="41" spans="1:47" x14ac:dyDescent="0.2">
      <c r="A41" s="12"/>
      <c r="B41" s="13"/>
      <c r="D41" s="13"/>
      <c r="E41" s="13"/>
      <c r="J41" s="13"/>
      <c r="K41" s="14"/>
      <c r="P41" s="13"/>
      <c r="Q41" s="13"/>
      <c r="V41" s="13"/>
      <c r="W41" s="13"/>
      <c r="AB41" s="13"/>
      <c r="AC41" s="13"/>
      <c r="AH41" s="13"/>
      <c r="AI41" s="13"/>
      <c r="AN41" s="13"/>
      <c r="AO41" s="13"/>
      <c r="AU41" s="3"/>
    </row>
    <row r="42" spans="1:47" x14ac:dyDescent="0.2">
      <c r="A42" s="12"/>
      <c r="B42" s="13"/>
      <c r="D42" s="13"/>
      <c r="E42" s="13"/>
      <c r="J42" s="13"/>
      <c r="K42" s="13"/>
      <c r="P42" s="13"/>
      <c r="Q42" s="13"/>
      <c r="V42" s="13"/>
      <c r="W42" s="13"/>
      <c r="AB42" s="13"/>
      <c r="AC42" s="13"/>
      <c r="AH42" s="13"/>
      <c r="AI42" s="13"/>
      <c r="AN42" s="13"/>
      <c r="AO42" s="13"/>
      <c r="AU42" s="3"/>
    </row>
    <row r="43" spans="1:47" x14ac:dyDescent="0.2">
      <c r="A43" s="12"/>
      <c r="B43" s="13"/>
      <c r="D43" s="13"/>
      <c r="E43" s="13"/>
      <c r="J43" s="13"/>
      <c r="K43" s="13"/>
      <c r="P43" s="13"/>
      <c r="Q43" s="13"/>
      <c r="V43" s="13"/>
      <c r="W43" s="13"/>
      <c r="AB43" s="13"/>
      <c r="AC43" s="13"/>
      <c r="AH43" s="13"/>
      <c r="AI43" s="13"/>
      <c r="AN43" s="13"/>
      <c r="AO43" s="13"/>
      <c r="AU43" s="3"/>
    </row>
    <row r="44" spans="1:47" x14ac:dyDescent="0.2">
      <c r="A44" s="12"/>
      <c r="B44" s="13"/>
      <c r="D44" s="13"/>
      <c r="E44" s="13"/>
      <c r="J44" s="13"/>
      <c r="K44" s="13"/>
      <c r="P44" s="13"/>
      <c r="Q44" s="13"/>
      <c r="V44" s="13"/>
      <c r="W44" s="13"/>
      <c r="AB44" s="13"/>
      <c r="AC44" s="13"/>
      <c r="AH44" s="13"/>
      <c r="AI44" s="13"/>
      <c r="AN44" s="13"/>
      <c r="AO44" s="13"/>
      <c r="AU44" s="3"/>
    </row>
    <row r="45" spans="1:47" x14ac:dyDescent="0.2">
      <c r="A45" s="12"/>
      <c r="B45" s="13"/>
      <c r="D45" s="13"/>
      <c r="E45" s="13"/>
      <c r="J45" s="13"/>
      <c r="K45" s="13"/>
      <c r="P45" s="13"/>
      <c r="Q45" s="13"/>
      <c r="V45" s="13"/>
      <c r="W45" s="13"/>
      <c r="AB45" s="13"/>
      <c r="AC45" s="13"/>
      <c r="AH45" s="13"/>
      <c r="AI45" s="13"/>
      <c r="AN45" s="13"/>
      <c r="AO45" s="13"/>
      <c r="AU45" s="3"/>
    </row>
    <row r="46" spans="1:47" x14ac:dyDescent="0.2">
      <c r="A46" s="12"/>
      <c r="B46" s="13"/>
      <c r="D46" s="13"/>
      <c r="E46" s="13"/>
      <c r="J46" s="13"/>
      <c r="K46" s="13"/>
      <c r="P46" s="13"/>
      <c r="Q46" s="13"/>
      <c r="V46" s="13"/>
      <c r="W46" s="13"/>
      <c r="AB46" s="13"/>
      <c r="AC46" s="13"/>
      <c r="AH46" s="13"/>
      <c r="AI46" s="13"/>
      <c r="AN46" s="13"/>
      <c r="AO46" s="13"/>
      <c r="AU46" s="3"/>
    </row>
    <row r="47" spans="1:47" x14ac:dyDescent="0.2">
      <c r="A47" s="12"/>
      <c r="B47" s="13"/>
      <c r="D47" s="13"/>
      <c r="E47" s="13"/>
      <c r="J47" s="13"/>
      <c r="K47" s="13"/>
      <c r="P47" s="13"/>
      <c r="Q47" s="13"/>
      <c r="V47" s="13"/>
      <c r="W47" s="13"/>
      <c r="AB47" s="13"/>
      <c r="AC47" s="13"/>
      <c r="AH47" s="13"/>
      <c r="AI47" s="13"/>
      <c r="AN47" s="13"/>
      <c r="AO47" s="13"/>
      <c r="AU47" s="3"/>
    </row>
    <row r="48" spans="1:47" x14ac:dyDescent="0.2">
      <c r="A48" s="12"/>
      <c r="B48" s="13"/>
      <c r="D48" s="13"/>
      <c r="E48" s="13"/>
      <c r="J48" s="13"/>
      <c r="K48" s="13"/>
      <c r="P48" s="13"/>
      <c r="Q48" s="13"/>
      <c r="V48" s="13"/>
      <c r="W48" s="13"/>
      <c r="AB48" s="13"/>
      <c r="AC48" s="13"/>
      <c r="AH48" s="13"/>
      <c r="AI48" s="13"/>
      <c r="AN48" s="13"/>
      <c r="AO48" s="13"/>
      <c r="AU48" s="3"/>
    </row>
    <row r="49" spans="1:47" x14ac:dyDescent="0.2">
      <c r="A49" s="12"/>
      <c r="B49" s="13"/>
      <c r="D49" s="13"/>
      <c r="E49" s="13"/>
      <c r="J49" s="13"/>
      <c r="K49" s="13"/>
      <c r="P49" s="13"/>
      <c r="Q49" s="13"/>
      <c r="V49" s="13"/>
      <c r="W49" s="13"/>
      <c r="AB49" s="13"/>
      <c r="AC49" s="13"/>
      <c r="AH49" s="13"/>
      <c r="AI49" s="13"/>
      <c r="AN49" s="13"/>
      <c r="AO49" s="13"/>
      <c r="AU49" s="3"/>
    </row>
    <row r="50" spans="1:47" x14ac:dyDescent="0.2">
      <c r="A50" s="12"/>
      <c r="B50" s="13"/>
      <c r="D50" s="13"/>
      <c r="E50" s="13"/>
      <c r="J50" s="13"/>
      <c r="K50" s="13"/>
      <c r="P50" s="13"/>
      <c r="Q50" s="13"/>
      <c r="V50" s="13"/>
      <c r="W50" s="13"/>
      <c r="AB50" s="13"/>
      <c r="AC50" s="13"/>
      <c r="AH50" s="13"/>
      <c r="AI50" s="13"/>
      <c r="AN50" s="13"/>
      <c r="AO50" s="13"/>
      <c r="AU50" s="3"/>
    </row>
    <row r="51" spans="1:47" x14ac:dyDescent="0.2">
      <c r="A51" s="12"/>
      <c r="B51" s="13"/>
      <c r="D51" s="13"/>
      <c r="E51" s="13"/>
      <c r="J51" s="13"/>
      <c r="K51" s="13"/>
      <c r="P51" s="13"/>
      <c r="Q51" s="13"/>
      <c r="V51" s="13"/>
      <c r="W51" s="13"/>
      <c r="AB51" s="13"/>
      <c r="AC51" s="13"/>
      <c r="AH51" s="13"/>
      <c r="AI51" s="13"/>
      <c r="AN51" s="13"/>
      <c r="AO51" s="13"/>
      <c r="AU51" s="3"/>
    </row>
    <row r="52" spans="1:47" x14ac:dyDescent="0.2">
      <c r="A52" s="12"/>
      <c r="B52" s="13"/>
      <c r="D52" s="13"/>
      <c r="E52" s="13"/>
      <c r="J52" s="13"/>
      <c r="K52" s="13"/>
      <c r="P52" s="13"/>
      <c r="Q52" s="13"/>
      <c r="V52" s="13"/>
      <c r="W52" s="13"/>
      <c r="AB52" s="13"/>
      <c r="AC52" s="13"/>
      <c r="AH52" s="13"/>
      <c r="AI52" s="13"/>
      <c r="AN52" s="13"/>
      <c r="AO52" s="13"/>
      <c r="AU52" s="3"/>
    </row>
    <row r="53" spans="1:47" x14ac:dyDescent="0.2">
      <c r="A53" s="12"/>
      <c r="B53" s="13"/>
      <c r="D53" s="13"/>
      <c r="E53" s="13"/>
      <c r="J53" s="13"/>
      <c r="K53" s="13"/>
      <c r="P53" s="13"/>
      <c r="Q53" s="13"/>
      <c r="V53" s="13"/>
      <c r="W53" s="13"/>
      <c r="AB53" s="13"/>
      <c r="AC53" s="13"/>
      <c r="AH53" s="13"/>
      <c r="AI53" s="13"/>
      <c r="AN53" s="13"/>
      <c r="AO53" s="13"/>
      <c r="AU53" s="3"/>
    </row>
    <row r="54" spans="1:47" x14ac:dyDescent="0.2">
      <c r="A54" s="12"/>
      <c r="B54" s="13"/>
      <c r="D54" s="13"/>
      <c r="E54" s="13"/>
      <c r="J54" s="13"/>
      <c r="K54" s="13"/>
      <c r="P54" s="13"/>
      <c r="Q54" s="13"/>
      <c r="V54" s="13"/>
      <c r="W54" s="13"/>
      <c r="AB54" s="13"/>
      <c r="AC54" s="13"/>
      <c r="AH54" s="13"/>
      <c r="AI54" s="13"/>
      <c r="AN54" s="13"/>
      <c r="AO54" s="13"/>
      <c r="AU54" s="3"/>
    </row>
    <row r="55" spans="1:47" x14ac:dyDescent="0.2">
      <c r="A55" s="12"/>
      <c r="B55" s="13"/>
      <c r="D55" s="13"/>
      <c r="E55" s="13"/>
      <c r="J55" s="13"/>
      <c r="K55" s="13"/>
      <c r="P55" s="13"/>
      <c r="Q55" s="13"/>
      <c r="V55" s="13"/>
      <c r="W55" s="13"/>
      <c r="AB55" s="13"/>
      <c r="AC55" s="13"/>
      <c r="AH55" s="13"/>
      <c r="AI55" s="13"/>
      <c r="AN55" s="13"/>
      <c r="AO55" s="13"/>
      <c r="AU55" s="3"/>
    </row>
  </sheetData>
  <sheetProtection sheet="1" objects="1" scenarios="1"/>
  <mergeCells count="31">
    <mergeCell ref="AT1:AT3"/>
    <mergeCell ref="AU1:AU3"/>
    <mergeCell ref="E2:E3"/>
    <mergeCell ref="F2:H2"/>
    <mergeCell ref="J2:J3"/>
    <mergeCell ref="K2:K3"/>
    <mergeCell ref="AN2:AN3"/>
    <mergeCell ref="AH1:AL1"/>
    <mergeCell ref="AP2:AR2"/>
    <mergeCell ref="AD2:AF2"/>
    <mergeCell ref="AH2:AH3"/>
    <mergeCell ref="AI2:AI3"/>
    <mergeCell ref="AJ2:AL2"/>
    <mergeCell ref="AO2:AO3"/>
    <mergeCell ref="AN1:AR1"/>
    <mergeCell ref="B1:B3"/>
    <mergeCell ref="D1:H1"/>
    <mergeCell ref="J1:N1"/>
    <mergeCell ref="P1:T1"/>
    <mergeCell ref="AB1:AF1"/>
    <mergeCell ref="Q2:Q3"/>
    <mergeCell ref="R2:T2"/>
    <mergeCell ref="AB2:AB3"/>
    <mergeCell ref="AC2:AC3"/>
    <mergeCell ref="V1:Z1"/>
    <mergeCell ref="V2:V3"/>
    <mergeCell ref="W2:W3"/>
    <mergeCell ref="X2:Z2"/>
    <mergeCell ref="L2:N2"/>
    <mergeCell ref="P2:P3"/>
    <mergeCell ref="D2:D3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7"/>
  <sheetViews>
    <sheetView workbookViewId="0">
      <selection activeCell="E6" sqref="E6"/>
    </sheetView>
  </sheetViews>
  <sheetFormatPr baseColWidth="10" defaultColWidth="8.83203125" defaultRowHeight="15" x14ac:dyDescent="0.2"/>
  <sheetData>
    <row r="2" spans="1:5" x14ac:dyDescent="0.2">
      <c r="A2" t="s">
        <v>28</v>
      </c>
      <c r="B2" s="12">
        <v>0</v>
      </c>
      <c r="D2" t="s">
        <v>36</v>
      </c>
      <c r="E2" s="12">
        <v>0</v>
      </c>
    </row>
    <row r="3" spans="1:5" x14ac:dyDescent="0.2">
      <c r="A3" t="s">
        <v>29</v>
      </c>
      <c r="B3" s="12">
        <v>6</v>
      </c>
      <c r="D3" t="s">
        <v>37</v>
      </c>
      <c r="E3" s="12">
        <v>8</v>
      </c>
    </row>
    <row r="4" spans="1:5" x14ac:dyDescent="0.2">
      <c r="A4" t="s">
        <v>30</v>
      </c>
      <c r="B4" s="12">
        <v>12</v>
      </c>
      <c r="D4" t="s">
        <v>37</v>
      </c>
      <c r="E4" s="12">
        <v>16</v>
      </c>
    </row>
    <row r="5" spans="1:5" x14ac:dyDescent="0.2">
      <c r="A5" t="s">
        <v>31</v>
      </c>
      <c r="B5" s="12">
        <v>18</v>
      </c>
      <c r="D5" t="s">
        <v>38</v>
      </c>
      <c r="E5" s="12">
        <v>22</v>
      </c>
    </row>
    <row r="6" spans="1:5" x14ac:dyDescent="0.2">
      <c r="B6" s="12"/>
      <c r="E6" s="12"/>
    </row>
    <row r="7" spans="1:5" x14ac:dyDescent="0.2">
      <c r="A7" t="s">
        <v>42</v>
      </c>
      <c r="B7" s="12">
        <v>30</v>
      </c>
      <c r="D7" t="s">
        <v>41</v>
      </c>
      <c r="E7" s="12">
        <v>40</v>
      </c>
    </row>
  </sheetData>
  <sheetProtection sheet="1" objects="1" scenarios="1"/>
  <phoneticPr fontId="18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C3E9-EE89-954C-8AEC-E438F75D9533}">
  <dimension ref="A1:BG56"/>
  <sheetViews>
    <sheetView topLeftCell="V1" workbookViewId="0">
      <selection activeCell="AL4" sqref="AL4"/>
    </sheetView>
  </sheetViews>
  <sheetFormatPr baseColWidth="10" defaultRowHeight="15" x14ac:dyDescent="0.2"/>
  <cols>
    <col min="1" max="1" width="8.83203125" style="1" customWidth="1"/>
    <col min="2" max="2" width="15" style="8" bestFit="1" customWidth="1"/>
    <col min="3" max="3" width="10.83203125" style="1"/>
    <col min="4" max="4" width="6.6640625" customWidth="1"/>
    <col min="5" max="5" width="10.83203125" style="1"/>
    <col min="6" max="6" width="18.33203125" customWidth="1"/>
    <col min="7" max="7" width="6" style="1" customWidth="1"/>
    <col min="8" max="8" width="10.83203125" style="4"/>
    <col min="9" max="11" width="10" style="1" customWidth="1"/>
    <col min="12" max="12" width="6.6640625" customWidth="1"/>
    <col min="13" max="13" width="10.83203125" style="1"/>
    <col min="14" max="14" width="18.33203125" customWidth="1"/>
    <col min="15" max="15" width="6" style="1" customWidth="1"/>
    <col min="16" max="16" width="10.83203125" style="4"/>
    <col min="17" max="19" width="10" style="1" customWidth="1"/>
    <col min="20" max="20" width="6.6640625" customWidth="1"/>
    <col min="21" max="21" width="10.83203125" style="1"/>
    <col min="22" max="22" width="18.33203125" customWidth="1"/>
    <col min="23" max="23" width="6" style="1" customWidth="1"/>
    <col min="24" max="24" width="10.83203125" style="4"/>
    <col min="25" max="27" width="10" style="1" customWidth="1"/>
    <col min="28" max="28" width="6.6640625" customWidth="1"/>
    <col min="29" max="29" width="10.83203125" style="1"/>
    <col min="30" max="30" width="18.33203125" customWidth="1"/>
    <col min="31" max="31" width="6" style="1" customWidth="1"/>
    <col min="32" max="32" width="10.83203125" style="4"/>
    <col min="33" max="35" width="10" style="1" customWidth="1"/>
    <col min="36" max="36" width="6.6640625" customWidth="1"/>
    <col min="37" max="37" width="10.83203125" style="1"/>
    <col min="38" max="38" width="18.33203125" customWidth="1"/>
    <col min="39" max="39" width="6" style="1" customWidth="1"/>
    <col min="40" max="40" width="10.83203125" style="4"/>
    <col min="41" max="43" width="10" style="1" customWidth="1"/>
    <col min="44" max="44" width="6.6640625" customWidth="1"/>
    <col min="45" max="45" width="10.83203125" style="1"/>
    <col min="46" max="46" width="18.33203125" customWidth="1"/>
    <col min="47" max="47" width="6" style="1" customWidth="1"/>
    <col min="48" max="48" width="10.83203125" style="4"/>
    <col min="49" max="51" width="10" style="1" customWidth="1"/>
    <col min="52" max="52" width="6.6640625" customWidth="1"/>
    <col min="53" max="53" width="10.83203125" style="1"/>
    <col min="54" max="54" width="18.33203125" customWidth="1"/>
    <col min="55" max="55" width="6" style="1" customWidth="1"/>
    <col min="56" max="56" width="10.83203125" style="4"/>
    <col min="57" max="59" width="10" style="1" customWidth="1"/>
  </cols>
  <sheetData>
    <row r="1" spans="1:59" ht="20" thickBot="1" x14ac:dyDescent="0.3">
      <c r="A1" s="22" t="s">
        <v>43</v>
      </c>
      <c r="B1" s="22"/>
      <c r="C1" s="22"/>
      <c r="E1" s="22" t="s">
        <v>18</v>
      </c>
      <c r="F1" s="22"/>
      <c r="G1" s="22"/>
      <c r="H1" s="22"/>
      <c r="I1" s="22"/>
      <c r="J1" s="22"/>
      <c r="K1" s="22"/>
      <c r="M1" s="22" t="s">
        <v>19</v>
      </c>
      <c r="N1" s="22"/>
      <c r="O1" s="22"/>
      <c r="P1" s="22"/>
      <c r="Q1" s="22"/>
      <c r="R1" s="22"/>
      <c r="S1" s="22"/>
      <c r="U1" s="22" t="s">
        <v>110</v>
      </c>
      <c r="V1" s="22"/>
      <c r="W1" s="22"/>
      <c r="X1" s="22"/>
      <c r="Y1" s="22"/>
      <c r="Z1" s="22"/>
      <c r="AA1" s="22"/>
      <c r="AC1" s="22" t="s">
        <v>111</v>
      </c>
      <c r="AD1" s="22"/>
      <c r="AE1" s="22"/>
      <c r="AF1" s="22"/>
      <c r="AG1" s="22"/>
      <c r="AH1" s="22"/>
      <c r="AI1" s="22"/>
      <c r="AK1" s="22" t="s">
        <v>20</v>
      </c>
      <c r="AL1" s="22"/>
      <c r="AM1" s="22"/>
      <c r="AN1" s="22"/>
      <c r="AO1" s="22"/>
      <c r="AP1" s="22"/>
      <c r="AQ1" s="22"/>
      <c r="AS1" s="22" t="s">
        <v>21</v>
      </c>
      <c r="AT1" s="22"/>
      <c r="AU1" s="22"/>
      <c r="AV1" s="22"/>
      <c r="AW1" s="22"/>
      <c r="AX1" s="22"/>
      <c r="AY1" s="22"/>
      <c r="BA1" s="22" t="s">
        <v>22</v>
      </c>
      <c r="BB1" s="22"/>
      <c r="BC1" s="22"/>
      <c r="BD1" s="22"/>
      <c r="BE1" s="22"/>
      <c r="BF1" s="22"/>
      <c r="BG1" s="22"/>
    </row>
    <row r="2" spans="1:59" s="3" customFormat="1" x14ac:dyDescent="0.2">
      <c r="A2" s="3" t="s">
        <v>23</v>
      </c>
      <c r="B2" s="3" t="s">
        <v>24</v>
      </c>
      <c r="C2" s="3" t="s">
        <v>27</v>
      </c>
      <c r="E2" s="3" t="s">
        <v>44</v>
      </c>
      <c r="F2" s="3" t="s">
        <v>24</v>
      </c>
      <c r="G2" s="3" t="s">
        <v>45</v>
      </c>
      <c r="H2" s="9" t="s">
        <v>25</v>
      </c>
      <c r="I2" s="3" t="s">
        <v>46</v>
      </c>
      <c r="J2" s="3" t="s">
        <v>33</v>
      </c>
      <c r="K2" s="3" t="s">
        <v>26</v>
      </c>
      <c r="M2" s="3" t="s">
        <v>44</v>
      </c>
      <c r="N2" s="3" t="s">
        <v>24</v>
      </c>
      <c r="O2" s="3" t="s">
        <v>45</v>
      </c>
      <c r="P2" s="9" t="s">
        <v>25</v>
      </c>
      <c r="Q2" s="3" t="s">
        <v>46</v>
      </c>
      <c r="R2" s="3" t="s">
        <v>33</v>
      </c>
      <c r="S2" s="3" t="s">
        <v>26</v>
      </c>
      <c r="U2" s="3" t="s">
        <v>44</v>
      </c>
      <c r="V2" s="3" t="s">
        <v>24</v>
      </c>
      <c r="W2" s="3" t="s">
        <v>45</v>
      </c>
      <c r="X2" s="9" t="s">
        <v>25</v>
      </c>
      <c r="Y2" s="3" t="s">
        <v>46</v>
      </c>
      <c r="Z2" s="3" t="s">
        <v>33</v>
      </c>
      <c r="AA2" s="3" t="s">
        <v>26</v>
      </c>
      <c r="AC2" s="3" t="s">
        <v>44</v>
      </c>
      <c r="AD2" s="3" t="s">
        <v>24</v>
      </c>
      <c r="AE2" s="3" t="s">
        <v>45</v>
      </c>
      <c r="AF2" s="9" t="s">
        <v>25</v>
      </c>
      <c r="AG2" s="3" t="s">
        <v>46</v>
      </c>
      <c r="AH2" s="3" t="s">
        <v>33</v>
      </c>
      <c r="AI2" s="3" t="s">
        <v>26</v>
      </c>
      <c r="AK2" s="3" t="s">
        <v>44</v>
      </c>
      <c r="AL2" s="3" t="s">
        <v>24</v>
      </c>
      <c r="AM2" s="3" t="s">
        <v>45</v>
      </c>
      <c r="AN2" s="9" t="s">
        <v>25</v>
      </c>
      <c r="AO2" s="3" t="s">
        <v>46</v>
      </c>
      <c r="AP2" s="3" t="s">
        <v>33</v>
      </c>
      <c r="AQ2" s="3" t="s">
        <v>26</v>
      </c>
      <c r="AS2" s="3" t="s">
        <v>44</v>
      </c>
      <c r="AT2" s="3" t="s">
        <v>24</v>
      </c>
      <c r="AU2" s="3" t="s">
        <v>45</v>
      </c>
      <c r="AV2" s="9" t="s">
        <v>25</v>
      </c>
      <c r="AW2" s="3" t="s">
        <v>46</v>
      </c>
      <c r="AX2" s="3" t="s">
        <v>33</v>
      </c>
      <c r="AY2" s="3" t="s">
        <v>26</v>
      </c>
      <c r="BA2" s="3" t="s">
        <v>44</v>
      </c>
      <c r="BB2" s="3" t="s">
        <v>24</v>
      </c>
      <c r="BC2" s="3" t="s">
        <v>45</v>
      </c>
      <c r="BD2" s="9" t="s">
        <v>25</v>
      </c>
      <c r="BE2" s="3" t="s">
        <v>46</v>
      </c>
      <c r="BF2" s="3" t="s">
        <v>33</v>
      </c>
      <c r="BG2" s="3" t="s">
        <v>26</v>
      </c>
    </row>
    <row r="3" spans="1:59" s="3" customFormat="1" ht="7" customHeight="1" x14ac:dyDescent="0.2">
      <c r="B3" s="7"/>
      <c r="H3" s="9"/>
      <c r="P3" s="9"/>
      <c r="X3" s="9"/>
      <c r="AF3" s="9"/>
      <c r="AN3" s="9"/>
      <c r="AV3" s="9"/>
      <c r="BD3" s="9"/>
    </row>
    <row r="4" spans="1:59" x14ac:dyDescent="0.2">
      <c r="A4" s="1" cm="1">
        <f t="array" ref="A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</v>
      </c>
      <c r="B4" s="8" t="str" cm="1">
        <f t="array" ref="B4:C30">_xlfn.LET(
  _xlpm.names,'Stage Data - A'!$A$5:$A$48,
  _xlpm.total,'Stage Data - A'!$AU$5:$AU$48,
  _xlpm.data,_xlfn._xlws.FILTER(CHOOSE({1,2},_xlpm.names,_xlpm.total),_xlpm.names&lt;&gt;""),
  _xlfn.SORTBY(_xlpm.data,INDEX(_xlpm.data,,2),-1,INDEX(_xlpm.data,,1),1)
)</f>
        <v>Henrik Persson</v>
      </c>
      <c r="C4" s="1">
        <v>150</v>
      </c>
      <c r="E4" s="1" cm="1">
        <f t="array" ref="E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</v>
      </c>
      <c r="F4" t="str" cm="1">
        <f t="array" ref="F4:K30">_xlfn.LET(
  _xlpm.names,'Stage Data - A'!$A$5:$A$48,
  _xlpm.stpos,'Stage Data - A'!D$5:D$48,
  _xlpm.time,'Stage Data - A'!E$5:E$48,
  _xlpm.base,'Stage Data - A'!F$5:F$48,
  _xlpm.hdcp,'Stage Data - A'!G$5:G$48,
  _xlpm.adj,'Stage Data - A'!H$5:H$48,
  _xlpm.data,_xlfn._xlws.FILTER(CHOOSE({1,2,3,4,5,6},_xlpm.names,_xlpm.stpos,_xlpm.time,_xlpm.base,_xlpm.hdcp,_xlpm.adj), _xlpm.adj&lt;&gt;""),
  _xlfn.SORTBY(_xlpm.data, INDEX(_xlpm.data,,6), -1, INDEX(_xlpm.data,,1), 1)
)</f>
        <v>Chris Jenkins</v>
      </c>
      <c r="G4" s="1">
        <v>7</v>
      </c>
      <c r="H4" s="4">
        <v>2.3865740740740739E-2</v>
      </c>
      <c r="I4" s="1">
        <v>24</v>
      </c>
      <c r="J4" s="1">
        <v>6</v>
      </c>
      <c r="K4" s="1">
        <v>30</v>
      </c>
      <c r="M4" s="1" cm="1">
        <f t="array" ref="M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</v>
      </c>
      <c r="N4" t="str" cm="1">
        <f t="array" ref="N4:S30">_xlfn.LET(
  _xlpm.names,'Stage Data - A'!$A$5:$A$48,
  _xlpm.stpos,'Stage Data - A'!J$5:J$48,
  _xlpm.time,'Stage Data - A'!K$5:K$48,
  _xlpm.base,'Stage Data - A'!L$5:L$48,
  _xlpm.hdcp,'Stage Data - A'!M$5:M$48,
  _xlpm.adj,'Stage Data - A'!N$5:N$48,
  _xlpm.data,_xlfn._xlws.FILTER(CHOOSE({1,2,3,4,5,6},_xlpm.names,_xlpm.stpos,_xlpm.time,_xlpm.base,_xlpm.hdcp,_xlpm.adj), _xlpm.adj&lt;&gt;""),
  _xlfn.SORTBY(_xlpm.data, INDEX(_xlpm.data,,6), -1, INDEX(_xlpm.data,,1), 1)
)</f>
        <v>Henrik Persson</v>
      </c>
      <c r="O4" s="1">
        <v>6</v>
      </c>
      <c r="P4" s="4">
        <v>2.0104166666666666E-2</v>
      </c>
      <c r="Q4" s="1">
        <v>25</v>
      </c>
      <c r="R4" s="1">
        <v>6</v>
      </c>
      <c r="S4" s="1">
        <v>30</v>
      </c>
      <c r="U4" s="1" cm="1">
        <f t="array" ref="U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</v>
      </c>
      <c r="V4" t="str" cm="1">
        <f t="array" ref="V4:AA30">_xlfn.LET(
  _xlpm.names,'Stage Data - A'!$A$5:$A$50,
  _xlpm.stpos,'Stage Data - A'!P$5:P$50,
  _xlpm.time,'Stage Data - A'!Q$5:Q$50,
  _xlpm.base,'Stage Data - A'!R$5:R$50,
  _xlpm.hdcp,'Stage Data - A'!S$5:S$50,
  _xlpm.adj,'Stage Data - A'!T$5:T$50,
  _xlpm.data,_xlfn._xlws.FILTER(CHOOSE({1,2,3,4,5,6},_xlpm.names,_xlpm.stpos,_xlpm.time,_xlpm.base,_xlpm.hdcp,_xlpm.adj), _xlpm.adj&lt;&gt;""),
  _xlfn.SORTBY(_xlpm.data, INDEX(_xlpm.data,,6), -1, INDEX(_xlpm.data,,1), 1)
)</f>
        <v>Henrik Persson</v>
      </c>
      <c r="W4" s="1">
        <v>5</v>
      </c>
      <c r="X4" s="4">
        <v>3.0636574074074073E-2</v>
      </c>
      <c r="Y4" s="1">
        <v>26</v>
      </c>
      <c r="Z4" s="1">
        <v>6</v>
      </c>
      <c r="AA4" s="1">
        <v>30</v>
      </c>
      <c r="AC4" s="1" cm="1">
        <f t="array" ref="AC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</v>
      </c>
      <c r="AD4" t="str" cm="1">
        <f t="array" ref="AD4:AI30">_xlfn.LET(
  _xlpm.names,'Stage Data - A'!$A$5:$A$50,
  _xlpm.stpos,'Stage Data - A'!V$5:V$50,
  _xlpm.time,'Stage Data - A'!W$5:W$50,
  _xlpm.base,'Stage Data - A'!X$5:X$50,
  _xlpm.hdcp,'Stage Data - A'!Y$5:Y$50,
  _xlpm.adj,'Stage Data - A'!Z$5:Z$50,
  _xlpm.data,_xlfn._xlws.FILTER(CHOOSE({1,2,3,4,5,6},_xlpm.names,_xlpm.stpos,_xlpm.time,_xlpm.base,_xlpm.hdcp,_xlpm.adj), _xlpm.adj&lt;&gt;""),
  _xlfn.SORTBY(_xlpm.data, INDEX(_xlpm.data,,6), -1, INDEX(_xlpm.data,,1), 1)
)</f>
        <v>Alex Robertson</v>
      </c>
      <c r="AE4" s="1">
        <v>10</v>
      </c>
      <c r="AF4" s="4">
        <v>2.1597222222222223E-2</v>
      </c>
      <c r="AG4" s="1">
        <v>21</v>
      </c>
      <c r="AH4" s="1">
        <v>12</v>
      </c>
      <c r="AI4" s="1">
        <v>30</v>
      </c>
      <c r="AK4" s="1" cm="1">
        <f t="array" ref="AK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1</v>
      </c>
      <c r="AL4" t="str" cm="1">
        <f t="array" ref="AL4:AQ30">_xlfn.LET(
  _xlpm.names,'Stage Data - A'!$A$5:$A$50,
  _xlpm.stpos,'Stage Data - A'!AB$5:AB$50,
  _xlpm.time,'Stage Data - A'!AC$5:AC$50,
  _xlpm.base,'Stage Data - A'!AD$5:AD$50,
  _xlpm.hdcp,'Stage Data - A'!AE$5:AE$50,
  _xlpm.adj,'Stage Data - A'!AF$5:AF$50,
  _xlpm.data,_xlfn._xlws.FILTER(CHOOSE({1,2,3,4,5,6},_xlpm.names,_xlpm.stpos,_xlpm.time,_xlpm.base,_xlpm.hdcp,_xlpm.adj), _xlpm.adj&lt;&gt;""),
  _xlfn.SORTBY(_xlpm.data, INDEX(_xlpm.data,,6), -1, INDEX(_xlpm.data,,1), 1)
)</f>
        <v>Henrik Persson</v>
      </c>
      <c r="AM4" s="1">
        <v>5</v>
      </c>
      <c r="AN4" s="4">
        <v>4.2048611111111113E-2</v>
      </c>
      <c r="AO4" s="1">
        <v>26</v>
      </c>
      <c r="AP4" s="1">
        <v>6</v>
      </c>
      <c r="AQ4" s="1">
        <v>30</v>
      </c>
      <c r="AS4" s="1" t="e" cm="1">
        <f t="array" ref="AS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>#REF!</v>
      </c>
      <c r="AT4" t="e" cm="1" vm="1">
        <f t="array" ref="AT4">_xlfn.LET(
  _xlpm.names,'Stage Data - A'!$A$5:$A$50,
  _xlpm.stpos,'Stage Data - A'!AH$5:AH$50,
  _xlpm.time,'Stage Data - A'!AI$5:AI$50,
  _xlpm.base,'Stage Data - A'!AJ$5:AJ$50,
  _xlpm.hdcp,'Stage Data - A'!AK$5:AK$50,
  _xlpm.adj,'Stage Data - A'!AL$5:AL$50,
  _xlpm.data,_xlfn._xlws.FILTER(CHOOSE({1,2,3,4,5,6},_xlpm.names,_xlpm.stpos,_xlpm.time,_xlpm.base,_xlpm.hdcp,_xlpm.adj), _xlpm.adj&lt;&gt;""),
  _xlfn.SORTBY(_xlpm.data, INDEX(_xlpm.data,,6), -1, INDEX(_xlpm.data,,1), 1)
)</f>
        <v>#VALUE!</v>
      </c>
      <c r="BA4" s="1" t="e" cm="1">
        <f t="array" ref="BA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>#REF!</v>
      </c>
      <c r="BB4" t="e" cm="1" vm="1">
        <f t="array" ref="BB4">_xlfn.LET(
  _xlpm.names,'Stage Data - A'!$A$5:$A$50,
  _xlpm.stpos,'Stage Data - A'!AN$5:AN$50,
  _xlpm.time,'Stage Data - A'!AO$5:AO$50,
  _xlpm.base,'Stage Data - A'!AP$5:AP$50,
  _xlpm.hdcp,'Stage Data - A'!AQ$5:AQ$50,
  _xlpm.adj,'Stage Data - A'!AR$5:AR$50,
  _xlpm.data,_xlfn._xlws.FILTER(CHOOSE({1,2,3,4,5,6},_xlpm.names,_xlpm.stpos,_xlpm.time,_xlpm.base,_xlpm.hdcp,_xlpm.adj), _xlpm.adj&lt;&gt;""),
  _xlfn.SORTBY(_xlpm.data, INDEX(_xlpm.data,,6), -1, INDEX(_xlpm.data,,1), 1)
)</f>
        <v>#VALUE!</v>
      </c>
    </row>
    <row r="5" spans="1:59" x14ac:dyDescent="0.2">
      <c r="A5" s="1" cm="1">
        <f t="array" ref="A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</v>
      </c>
      <c r="B5" s="8" t="str">
        <v>Matt de Freitas</v>
      </c>
      <c r="C5" s="1">
        <v>150</v>
      </c>
      <c r="E5" s="1" cm="1">
        <f t="array" ref="E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</v>
      </c>
      <c r="F5" t="str">
        <v>Henrik Persson</v>
      </c>
      <c r="G5" s="1">
        <v>6</v>
      </c>
      <c r="H5" s="4">
        <v>2.3831018518518519E-2</v>
      </c>
      <c r="I5" s="1">
        <v>25</v>
      </c>
      <c r="J5" s="1">
        <v>6</v>
      </c>
      <c r="K5" s="1">
        <v>30</v>
      </c>
      <c r="M5" s="1" cm="1">
        <f t="array" ref="M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</v>
      </c>
      <c r="N5" t="str">
        <v>James Armitage-Hobbs</v>
      </c>
      <c r="O5" s="1">
        <v>13</v>
      </c>
      <c r="P5" s="4">
        <v>2.042824074074074E-2</v>
      </c>
      <c r="Q5" s="1">
        <v>18</v>
      </c>
      <c r="R5" s="1">
        <v>12</v>
      </c>
      <c r="S5" s="1">
        <v>30</v>
      </c>
      <c r="U5" s="1" cm="1">
        <f t="array" ref="U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</v>
      </c>
      <c r="V5" t="str">
        <v>Judah Rand</v>
      </c>
      <c r="W5" s="1">
        <v>1</v>
      </c>
      <c r="X5" s="4">
        <v>2.960648148148148E-2</v>
      </c>
      <c r="Y5" s="1">
        <v>30</v>
      </c>
      <c r="Z5" s="1">
        <v>0</v>
      </c>
      <c r="AA5" s="1">
        <v>30</v>
      </c>
      <c r="AC5" s="1" cm="1">
        <f t="array" ref="AC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</v>
      </c>
      <c r="AD5" t="str">
        <v>Henrik Persson</v>
      </c>
      <c r="AE5" s="1">
        <v>6</v>
      </c>
      <c r="AF5" s="4">
        <v>2.1284722222222222E-2</v>
      </c>
      <c r="AG5" s="1">
        <v>25</v>
      </c>
      <c r="AH5" s="1">
        <v>6</v>
      </c>
      <c r="AI5" s="1">
        <v>30</v>
      </c>
      <c r="AK5" s="1" cm="1">
        <f t="array" ref="AK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1</v>
      </c>
      <c r="AL5" t="str">
        <v>Matt de Freitas</v>
      </c>
      <c r="AM5" s="1">
        <v>3</v>
      </c>
      <c r="AN5" s="4">
        <v>4.1921296296296297E-2</v>
      </c>
      <c r="AO5" s="1">
        <v>28</v>
      </c>
      <c r="AP5" s="1">
        <v>6</v>
      </c>
      <c r="AQ5" s="1">
        <v>30</v>
      </c>
      <c r="AS5" s="1" t="str" cm="1">
        <f t="array" ref="AS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" s="1" t="str" cm="1">
        <f t="array" ref="BA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6" spans="1:59" x14ac:dyDescent="0.2">
      <c r="A6" s="1" cm="1">
        <f t="array" ref="A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3</v>
      </c>
      <c r="B6" s="8" t="str">
        <v>Judah Rand</v>
      </c>
      <c r="C6" s="1">
        <v>147</v>
      </c>
      <c r="E6" s="1" cm="1">
        <f t="array" ref="E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</v>
      </c>
      <c r="F6" t="str">
        <v>Judah Rand</v>
      </c>
      <c r="G6" s="1">
        <v>1</v>
      </c>
      <c r="H6" s="4">
        <v>2.3715277777777776E-2</v>
      </c>
      <c r="I6" s="1">
        <v>30</v>
      </c>
      <c r="J6" s="1">
        <v>0</v>
      </c>
      <c r="K6" s="1">
        <v>30</v>
      </c>
      <c r="M6" s="1" cm="1">
        <f t="array" ref="M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</v>
      </c>
      <c r="N6" t="str">
        <v>Matt de Freitas</v>
      </c>
      <c r="O6" s="1">
        <v>5</v>
      </c>
      <c r="P6" s="4">
        <v>2.0081018518518519E-2</v>
      </c>
      <c r="Q6" s="1">
        <v>26</v>
      </c>
      <c r="R6" s="1">
        <v>6</v>
      </c>
      <c r="S6" s="1">
        <v>30</v>
      </c>
      <c r="U6" s="1" cm="1">
        <f t="array" ref="U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</v>
      </c>
      <c r="V6" t="str">
        <v>Matt de Freitas</v>
      </c>
      <c r="W6" s="1">
        <v>6</v>
      </c>
      <c r="X6" s="4">
        <v>3.1122685185185184E-2</v>
      </c>
      <c r="Y6" s="1">
        <v>25</v>
      </c>
      <c r="Z6" s="1">
        <v>6</v>
      </c>
      <c r="AA6" s="1">
        <v>30</v>
      </c>
      <c r="AC6" s="1" cm="1">
        <f t="array" ref="AC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</v>
      </c>
      <c r="AD6" t="str">
        <v>Judah Rand</v>
      </c>
      <c r="AE6" s="1">
        <v>1</v>
      </c>
      <c r="AF6" s="4">
        <v>2.0729166666666667E-2</v>
      </c>
      <c r="AG6" s="1">
        <v>30</v>
      </c>
      <c r="AH6" s="1">
        <v>0</v>
      </c>
      <c r="AI6" s="1">
        <v>30</v>
      </c>
      <c r="AK6" s="1" cm="1">
        <f t="array" ref="AK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1</v>
      </c>
      <c r="AL6" t="str">
        <v>Tom Kennett</v>
      </c>
      <c r="AM6" s="1">
        <v>1</v>
      </c>
      <c r="AN6" s="4">
        <v>4.1215277777777781E-2</v>
      </c>
      <c r="AO6" s="1">
        <v>30</v>
      </c>
      <c r="AP6" s="1">
        <v>0</v>
      </c>
      <c r="AQ6" s="1">
        <v>30</v>
      </c>
      <c r="AS6" s="1" t="str" cm="1">
        <f t="array" ref="AS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6" s="1" t="str" cm="1">
        <f t="array" ref="BA6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7" spans="1:59" x14ac:dyDescent="0.2">
      <c r="A7" s="1" cm="1">
        <f t="array" ref="A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4</v>
      </c>
      <c r="B7" s="8" t="str">
        <v>Tom Herbert</v>
      </c>
      <c r="C7" s="1">
        <v>143</v>
      </c>
      <c r="E7" s="1" cm="1">
        <f t="array" ref="E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</v>
      </c>
      <c r="F7" t="str">
        <v>Matt de Freitas</v>
      </c>
      <c r="G7" s="1">
        <v>3</v>
      </c>
      <c r="H7" s="4">
        <v>2.3726851851851853E-2</v>
      </c>
      <c r="I7" s="1">
        <v>28</v>
      </c>
      <c r="J7" s="1">
        <v>6</v>
      </c>
      <c r="K7" s="1">
        <v>30</v>
      </c>
      <c r="M7" s="1" cm="1">
        <f t="array" ref="M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</v>
      </c>
      <c r="N7" t="str">
        <v>Neil Grunshaw</v>
      </c>
      <c r="O7" s="1">
        <v>7</v>
      </c>
      <c r="P7" s="4">
        <v>2.0104166666666666E-2</v>
      </c>
      <c r="Q7" s="1">
        <v>24</v>
      </c>
      <c r="R7" s="1">
        <v>6</v>
      </c>
      <c r="S7" s="1">
        <v>30</v>
      </c>
      <c r="U7" s="1" cm="1">
        <f t="array" ref="U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</v>
      </c>
      <c r="V7" t="str">
        <v>Neal Beauchamp</v>
      </c>
      <c r="W7" s="1">
        <v>7</v>
      </c>
      <c r="X7" s="4">
        <v>3.1203703703703702E-2</v>
      </c>
      <c r="Y7" s="1">
        <v>24</v>
      </c>
      <c r="Z7" s="1">
        <v>6</v>
      </c>
      <c r="AA7" s="1">
        <v>30</v>
      </c>
      <c r="AC7" s="1" cm="1">
        <f t="array" ref="AC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</v>
      </c>
      <c r="AD7" t="str">
        <v>Matt de Freitas</v>
      </c>
      <c r="AE7" s="1">
        <v>2</v>
      </c>
      <c r="AF7" s="4">
        <v>2.0798611111111111E-2</v>
      </c>
      <c r="AG7" s="1">
        <v>29</v>
      </c>
      <c r="AH7" s="1">
        <v>6</v>
      </c>
      <c r="AI7" s="1">
        <v>30</v>
      </c>
      <c r="AK7" s="1" cm="1">
        <f t="array" ref="AK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4</v>
      </c>
      <c r="AL7" t="str">
        <v>James Bowden</v>
      </c>
      <c r="AM7" s="1">
        <v>14</v>
      </c>
      <c r="AN7" s="4">
        <v>4.5231481481481484E-2</v>
      </c>
      <c r="AO7" s="1">
        <v>17</v>
      </c>
      <c r="AP7" s="1">
        <v>12</v>
      </c>
      <c r="AQ7" s="1">
        <v>29</v>
      </c>
      <c r="AS7" s="1" t="str" cm="1">
        <f t="array" ref="AS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7" s="1" t="str" cm="1">
        <f t="array" ref="BA7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8" spans="1:59" x14ac:dyDescent="0.2">
      <c r="A8" s="1" cm="1">
        <f t="array" ref="A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5</v>
      </c>
      <c r="B8" s="8" t="str">
        <v>Neil Grunshaw</v>
      </c>
      <c r="C8" s="1">
        <v>141</v>
      </c>
      <c r="E8" s="1" cm="1">
        <f t="array" ref="E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5</v>
      </c>
      <c r="F8" t="str">
        <v>David Wong</v>
      </c>
      <c r="G8" s="1">
        <v>14</v>
      </c>
      <c r="H8" s="4">
        <v>2.476851851851852E-2</v>
      </c>
      <c r="I8" s="1">
        <v>17</v>
      </c>
      <c r="J8" s="1">
        <v>12</v>
      </c>
      <c r="K8" s="1">
        <v>29</v>
      </c>
      <c r="M8" s="1" cm="1">
        <f t="array" ref="M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</v>
      </c>
      <c r="N8" t="str">
        <v>Raif Oz</v>
      </c>
      <c r="O8" s="1">
        <v>1</v>
      </c>
      <c r="P8" s="4">
        <v>1.9965277777777776E-2</v>
      </c>
      <c r="Q8" s="1">
        <v>30</v>
      </c>
      <c r="R8" s="1">
        <v>0</v>
      </c>
      <c r="S8" s="1">
        <v>30</v>
      </c>
      <c r="U8" s="1" cm="1">
        <f t="array" ref="U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5</v>
      </c>
      <c r="V8" t="str">
        <v>Chris Jenkins</v>
      </c>
      <c r="W8" s="1">
        <v>8</v>
      </c>
      <c r="X8" s="4">
        <v>3.1238425925925926E-2</v>
      </c>
      <c r="Y8" s="1">
        <v>23</v>
      </c>
      <c r="Z8" s="1">
        <v>6</v>
      </c>
      <c r="AA8" s="1">
        <v>29</v>
      </c>
      <c r="AC8" s="1" cm="1">
        <f t="array" ref="AC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5</v>
      </c>
      <c r="AD8" t="str">
        <v>Neil Grunshaw</v>
      </c>
      <c r="AE8" s="1">
        <v>4</v>
      </c>
      <c r="AF8" s="4">
        <v>2.0914351851851851E-2</v>
      </c>
      <c r="AG8" s="1">
        <v>27</v>
      </c>
      <c r="AH8" s="1">
        <v>6</v>
      </c>
      <c r="AI8" s="1">
        <v>30</v>
      </c>
      <c r="AK8" s="1" cm="1">
        <f t="array" ref="AK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4</v>
      </c>
      <c r="AL8" t="str">
        <v>Judah Rand</v>
      </c>
      <c r="AM8" s="1">
        <v>2</v>
      </c>
      <c r="AN8" s="4">
        <v>4.1724537037037039E-2</v>
      </c>
      <c r="AO8" s="1">
        <v>29</v>
      </c>
      <c r="AP8" s="1">
        <v>0</v>
      </c>
      <c r="AQ8" s="1">
        <v>29</v>
      </c>
      <c r="AS8" s="1" t="str" cm="1">
        <f t="array" ref="AS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8" s="1" t="str" cm="1">
        <f t="array" ref="BA8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9" spans="1:59" x14ac:dyDescent="0.2">
      <c r="A9" s="1" cm="1">
        <f t="array" ref="A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5</v>
      </c>
      <c r="B9" s="8" t="str">
        <v>Tom Kennett</v>
      </c>
      <c r="C9" s="1">
        <v>141</v>
      </c>
      <c r="E9" s="1" cm="1">
        <f t="array" ref="E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5</v>
      </c>
      <c r="F9" t="str">
        <v>Seb Ashton</v>
      </c>
      <c r="G9" s="1">
        <v>2</v>
      </c>
      <c r="H9" s="4">
        <v>2.3726851851851853E-2</v>
      </c>
      <c r="I9" s="1">
        <v>29</v>
      </c>
      <c r="J9" s="1">
        <v>0</v>
      </c>
      <c r="K9" s="1">
        <v>29</v>
      </c>
      <c r="M9" s="1" cm="1">
        <f t="array" ref="M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6</v>
      </c>
      <c r="N9" t="str">
        <v>Chris Jenkins</v>
      </c>
      <c r="O9" s="1">
        <v>8</v>
      </c>
      <c r="P9" s="4">
        <v>2.0277777777777777E-2</v>
      </c>
      <c r="Q9" s="1">
        <v>23</v>
      </c>
      <c r="R9" s="1">
        <v>6</v>
      </c>
      <c r="S9" s="1">
        <v>29</v>
      </c>
      <c r="U9" s="1" cm="1">
        <f t="array" ref="U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5</v>
      </c>
      <c r="V9" t="str">
        <v>David Wong</v>
      </c>
      <c r="W9" s="1">
        <v>14</v>
      </c>
      <c r="X9" s="4">
        <v>3.2569444444444443E-2</v>
      </c>
      <c r="Y9" s="1">
        <v>17</v>
      </c>
      <c r="Z9" s="1">
        <v>12</v>
      </c>
      <c r="AA9" s="1">
        <v>29</v>
      </c>
      <c r="AC9" s="1" cm="1">
        <f t="array" ref="AC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5</v>
      </c>
      <c r="AD9" t="str">
        <v>Tom Herbert</v>
      </c>
      <c r="AE9" s="1">
        <v>7</v>
      </c>
      <c r="AF9" s="4">
        <v>2.1435185185185186E-2</v>
      </c>
      <c r="AG9" s="1">
        <v>24</v>
      </c>
      <c r="AH9" s="1">
        <v>6</v>
      </c>
      <c r="AI9" s="1">
        <v>30</v>
      </c>
      <c r="AK9" s="1" cm="1">
        <f t="array" ref="AK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4</v>
      </c>
      <c r="AL9" t="str">
        <v>Neil Grunshaw</v>
      </c>
      <c r="AM9" s="1">
        <v>8</v>
      </c>
      <c r="AN9" s="4">
        <v>4.3252314814814813E-2</v>
      </c>
      <c r="AO9" s="1">
        <v>23</v>
      </c>
      <c r="AP9" s="1">
        <v>6</v>
      </c>
      <c r="AQ9" s="1">
        <v>29</v>
      </c>
      <c r="AS9" s="1" t="str" cm="1">
        <f t="array" ref="AS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9" s="1" t="str" cm="1">
        <f t="array" ref="BA9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0" spans="1:59" x14ac:dyDescent="0.2">
      <c r="A10" s="1" cm="1">
        <f t="array" ref="A1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7</v>
      </c>
      <c r="B10" s="8" t="str">
        <v>David Wong</v>
      </c>
      <c r="C10" s="1">
        <v>139</v>
      </c>
      <c r="E10" s="1" cm="1">
        <f t="array" ref="E1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5</v>
      </c>
      <c r="F10" t="str">
        <v>Tom Herbert</v>
      </c>
      <c r="G10" s="1">
        <v>8</v>
      </c>
      <c r="H10" s="4">
        <v>2.3912037037037037E-2</v>
      </c>
      <c r="I10" s="1">
        <v>23</v>
      </c>
      <c r="J10" s="1">
        <v>6</v>
      </c>
      <c r="K10" s="1">
        <v>29</v>
      </c>
      <c r="M10" s="1" cm="1">
        <f t="array" ref="M1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6</v>
      </c>
      <c r="N10" t="str">
        <v>Eamon Mason</v>
      </c>
      <c r="O10" s="1">
        <v>14</v>
      </c>
      <c r="P10" s="4">
        <v>2.0625000000000001E-2</v>
      </c>
      <c r="Q10" s="1">
        <v>17</v>
      </c>
      <c r="R10" s="1">
        <v>12</v>
      </c>
      <c r="S10" s="1">
        <v>29</v>
      </c>
      <c r="U10" s="1" cm="1">
        <f t="array" ref="U1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5</v>
      </c>
      <c r="V10" t="str">
        <v>Seb Ashton</v>
      </c>
      <c r="W10" s="1">
        <v>2</v>
      </c>
      <c r="X10" s="4">
        <v>2.960648148148148E-2</v>
      </c>
      <c r="Y10" s="1">
        <v>29</v>
      </c>
      <c r="Z10" s="1">
        <v>0</v>
      </c>
      <c r="AA10" s="1">
        <v>29</v>
      </c>
      <c r="AC10" s="1" cm="1">
        <f t="array" ref="AC1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5</v>
      </c>
      <c r="AD10" t="str">
        <v>James Bowden</v>
      </c>
      <c r="AE10" s="1">
        <v>14</v>
      </c>
      <c r="AF10" s="4">
        <v>2.1898148148148149E-2</v>
      </c>
      <c r="AG10" s="1">
        <v>17</v>
      </c>
      <c r="AH10" s="1">
        <v>12</v>
      </c>
      <c r="AI10" s="1">
        <v>29</v>
      </c>
      <c r="AK10" s="1" cm="1">
        <f t="array" ref="AK1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7</v>
      </c>
      <c r="AL10" t="str">
        <v>Alex Robertson</v>
      </c>
      <c r="AM10" s="1">
        <v>15</v>
      </c>
      <c r="AN10" s="4">
        <v>4.5254629629629631E-2</v>
      </c>
      <c r="AO10" s="1">
        <v>16</v>
      </c>
      <c r="AP10" s="1">
        <v>12</v>
      </c>
      <c r="AQ10" s="1">
        <v>28</v>
      </c>
      <c r="AS10" s="1" t="str" cm="1">
        <f t="array" ref="AS1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0" s="1" t="str" cm="1">
        <f t="array" ref="BA10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1" spans="1:59" x14ac:dyDescent="0.2">
      <c r="A11" s="1" cm="1">
        <f t="array" ref="A1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8</v>
      </c>
      <c r="B11" s="8" t="str">
        <v>Chris Jenkins</v>
      </c>
      <c r="C11" s="1">
        <v>138</v>
      </c>
      <c r="E11" s="1" cm="1">
        <f t="array" ref="E1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8</v>
      </c>
      <c r="F11" t="str">
        <v>Neil Grunshaw</v>
      </c>
      <c r="G11" s="1">
        <v>9</v>
      </c>
      <c r="H11" s="4">
        <v>2.4016203703703703E-2</v>
      </c>
      <c r="I11" s="1">
        <v>22</v>
      </c>
      <c r="J11" s="1">
        <v>6</v>
      </c>
      <c r="K11" s="1">
        <v>28</v>
      </c>
      <c r="M11" s="1" cm="1">
        <f t="array" ref="M1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6</v>
      </c>
      <c r="N11" t="str">
        <v>Tom Kennett</v>
      </c>
      <c r="O11" s="1">
        <v>2</v>
      </c>
      <c r="P11" s="4">
        <v>1.9965277777777776E-2</v>
      </c>
      <c r="Q11" s="1">
        <v>29</v>
      </c>
      <c r="R11" s="1">
        <v>0</v>
      </c>
      <c r="S11" s="1">
        <v>29</v>
      </c>
      <c r="U11" s="1" cm="1">
        <f t="array" ref="U1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8</v>
      </c>
      <c r="V11" t="str">
        <v>Gordon Reid</v>
      </c>
      <c r="W11" s="1">
        <v>15</v>
      </c>
      <c r="X11" s="4">
        <v>3.2847222222222222E-2</v>
      </c>
      <c r="Y11" s="1">
        <v>16</v>
      </c>
      <c r="Z11" s="1">
        <v>12</v>
      </c>
      <c r="AA11" s="1">
        <v>28</v>
      </c>
      <c r="AC11" s="1" cm="1">
        <f t="array" ref="AC1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8</v>
      </c>
      <c r="AD11" t="str">
        <v>Neal Beauchamp</v>
      </c>
      <c r="AE11" s="1">
        <v>8</v>
      </c>
      <c r="AF11" s="4">
        <v>3.5358796296296298E-2</v>
      </c>
      <c r="AG11" s="1">
        <v>23</v>
      </c>
      <c r="AH11" s="1">
        <v>6</v>
      </c>
      <c r="AI11" s="1">
        <v>29</v>
      </c>
      <c r="AK11" s="1" cm="1">
        <f t="array" ref="AK1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7</v>
      </c>
      <c r="AL11" t="str">
        <v>Tom Herbert</v>
      </c>
      <c r="AM11" s="1">
        <v>9</v>
      </c>
      <c r="AN11" s="4">
        <v>4.4155092592592593E-2</v>
      </c>
      <c r="AO11" s="1">
        <v>22</v>
      </c>
      <c r="AP11" s="1">
        <v>6</v>
      </c>
      <c r="AQ11" s="1">
        <v>28</v>
      </c>
      <c r="AS11" s="1" t="str" cm="1">
        <f t="array" ref="AS1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1" s="1" t="str" cm="1">
        <f t="array" ref="BA11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2" spans="1:59" x14ac:dyDescent="0.2">
      <c r="A12" s="1" cm="1">
        <f t="array" ref="A1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8</v>
      </c>
      <c r="B12" s="8" t="str">
        <v>Neal Beauchamp</v>
      </c>
      <c r="C12" s="1">
        <v>138</v>
      </c>
      <c r="E12" s="1" cm="1">
        <f t="array" ref="E1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9</v>
      </c>
      <c r="F12" t="str">
        <v>Bill McClatchie</v>
      </c>
      <c r="G12" s="1">
        <v>16</v>
      </c>
      <c r="H12" s="4">
        <v>2.4976851851851851E-2</v>
      </c>
      <c r="I12" s="1">
        <v>15</v>
      </c>
      <c r="J12" s="1">
        <v>12</v>
      </c>
      <c r="K12" s="1">
        <v>27</v>
      </c>
      <c r="M12" s="1" cm="1">
        <f t="array" ref="M1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9</v>
      </c>
      <c r="N12" t="str">
        <v>David Wong</v>
      </c>
      <c r="O12" s="1">
        <v>15</v>
      </c>
      <c r="P12" s="4">
        <v>2.0763888888888887E-2</v>
      </c>
      <c r="Q12" s="1">
        <v>16</v>
      </c>
      <c r="R12" s="1">
        <v>12</v>
      </c>
      <c r="S12" s="1">
        <v>28</v>
      </c>
      <c r="U12" s="1" cm="1">
        <f t="array" ref="U1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8</v>
      </c>
      <c r="V12" t="str">
        <v>Raif Oz</v>
      </c>
      <c r="W12" s="1">
        <v>3</v>
      </c>
      <c r="X12" s="4">
        <v>3.0173611111111109E-2</v>
      </c>
      <c r="Y12" s="1">
        <v>28</v>
      </c>
      <c r="Z12" s="1">
        <v>0</v>
      </c>
      <c r="AA12" s="1">
        <v>28</v>
      </c>
      <c r="AC12" s="1" cm="1">
        <f t="array" ref="AC1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8</v>
      </c>
      <c r="AD12" t="str">
        <v>Alex Tate</v>
      </c>
      <c r="AE12" s="1">
        <v>15</v>
      </c>
      <c r="AF12" s="4">
        <v>2.2048611111111113E-2</v>
      </c>
      <c r="AG12" s="1">
        <v>16</v>
      </c>
      <c r="AH12" s="1">
        <v>12</v>
      </c>
      <c r="AI12" s="1">
        <v>28</v>
      </c>
      <c r="AK12" s="1" cm="1">
        <f t="array" ref="AK1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9</v>
      </c>
      <c r="AL12" t="str">
        <v>David Wong</v>
      </c>
      <c r="AM12" s="1">
        <v>16</v>
      </c>
      <c r="AN12" s="4">
        <v>4.5289351851851851E-2</v>
      </c>
      <c r="AO12" s="1">
        <v>15</v>
      </c>
      <c r="AP12" s="1">
        <v>12</v>
      </c>
      <c r="AQ12" s="1">
        <v>27</v>
      </c>
      <c r="AS12" s="1" t="str" cm="1">
        <f t="array" ref="AS1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2" s="1" t="str" cm="1">
        <f t="array" ref="BA12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3" spans="1:59" x14ac:dyDescent="0.2">
      <c r="A13" s="1" cm="1">
        <f t="array" ref="A1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8</v>
      </c>
      <c r="B13" s="8" t="str">
        <v>Seb Ashton</v>
      </c>
      <c r="C13" s="1">
        <v>138</v>
      </c>
      <c r="E13" s="1" cm="1">
        <f t="array" ref="E1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9</v>
      </c>
      <c r="F13" t="str">
        <v>Tom Kennett</v>
      </c>
      <c r="G13" s="1">
        <v>4</v>
      </c>
      <c r="H13" s="4">
        <v>2.3726851851851853E-2</v>
      </c>
      <c r="I13" s="1">
        <v>27</v>
      </c>
      <c r="J13" s="1">
        <v>0</v>
      </c>
      <c r="K13" s="1">
        <v>27</v>
      </c>
      <c r="M13" s="1" cm="1">
        <f t="array" ref="M1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9</v>
      </c>
      <c r="N13" t="str">
        <v>Judah Rand</v>
      </c>
      <c r="O13" s="1">
        <v>3</v>
      </c>
      <c r="P13" s="4">
        <v>1.9976851851851853E-2</v>
      </c>
      <c r="Q13" s="1">
        <v>28</v>
      </c>
      <c r="R13" s="1">
        <v>0</v>
      </c>
      <c r="S13" s="1">
        <v>28</v>
      </c>
      <c r="U13" s="1" cm="1">
        <f t="array" ref="U1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8</v>
      </c>
      <c r="V13" t="str">
        <v>Tom Herbert</v>
      </c>
      <c r="W13" s="1">
        <v>9</v>
      </c>
      <c r="X13" s="4">
        <v>3.1863425925925927E-2</v>
      </c>
      <c r="Y13" s="1">
        <v>22</v>
      </c>
      <c r="Z13" s="1">
        <v>6</v>
      </c>
      <c r="AA13" s="1">
        <v>28</v>
      </c>
      <c r="AC13" s="1" cm="1">
        <f t="array" ref="AC1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8</v>
      </c>
      <c r="AD13" t="str">
        <v>Denis Whelan</v>
      </c>
      <c r="AE13" s="1">
        <v>9</v>
      </c>
      <c r="AF13" s="4">
        <v>2.1597222222222223E-2</v>
      </c>
      <c r="AG13" s="1">
        <v>22</v>
      </c>
      <c r="AH13" s="1">
        <v>6</v>
      </c>
      <c r="AI13" s="1">
        <v>28</v>
      </c>
      <c r="AK13" s="1" cm="1">
        <f t="array" ref="AK1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9</v>
      </c>
      <c r="AL13" t="str">
        <v>Jonny Bodey</v>
      </c>
      <c r="AM13" s="1">
        <v>10</v>
      </c>
      <c r="AN13" s="4">
        <v>4.4467592592592593E-2</v>
      </c>
      <c r="AO13" s="1">
        <v>21</v>
      </c>
      <c r="AP13" s="1">
        <v>6</v>
      </c>
      <c r="AQ13" s="1">
        <v>27</v>
      </c>
      <c r="AS13" s="1" t="str" cm="1">
        <f t="array" ref="AS1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3" s="1" t="str" cm="1">
        <f t="array" ref="BA13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4" spans="1:59" x14ac:dyDescent="0.2">
      <c r="A14" s="1" cm="1">
        <f t="array" ref="A1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11</v>
      </c>
      <c r="B14" s="8" t="str">
        <v>James Bowden</v>
      </c>
      <c r="C14" s="1">
        <v>134</v>
      </c>
      <c r="E14" s="1" cm="1">
        <f t="array" ref="E1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11</v>
      </c>
      <c r="F14" t="str">
        <v>Eamon Mason</v>
      </c>
      <c r="G14" s="1">
        <v>17</v>
      </c>
      <c r="H14" s="4">
        <v>2.4988425925925924E-2</v>
      </c>
      <c r="I14" s="1">
        <v>14</v>
      </c>
      <c r="J14" s="1">
        <v>12</v>
      </c>
      <c r="K14" s="1">
        <v>26</v>
      </c>
      <c r="M14" s="1" cm="1">
        <f t="array" ref="M1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9</v>
      </c>
      <c r="N14" t="str">
        <v>Tom Herbert</v>
      </c>
      <c r="O14" s="1">
        <v>9</v>
      </c>
      <c r="P14" s="4">
        <v>2.0277777777777777E-2</v>
      </c>
      <c r="Q14" s="1">
        <v>22</v>
      </c>
      <c r="R14" s="1">
        <v>6</v>
      </c>
      <c r="S14" s="1">
        <v>28</v>
      </c>
      <c r="U14" s="1" cm="1">
        <f t="array" ref="U1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11</v>
      </c>
      <c r="V14" t="str">
        <v>Tom Kennett</v>
      </c>
      <c r="W14" s="1">
        <v>4</v>
      </c>
      <c r="X14" s="4">
        <v>3.037037037037037E-2</v>
      </c>
      <c r="Y14" s="1">
        <v>27</v>
      </c>
      <c r="Z14" s="1">
        <v>0</v>
      </c>
      <c r="AA14" s="1">
        <v>27</v>
      </c>
      <c r="AC14" s="1" cm="1">
        <f t="array" ref="AC1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11</v>
      </c>
      <c r="AD14" t="str">
        <v>Tom Kennett</v>
      </c>
      <c r="AE14" s="1">
        <v>3</v>
      </c>
      <c r="AF14" s="4">
        <v>2.0821759259259259E-2</v>
      </c>
      <c r="AG14" s="1">
        <v>28</v>
      </c>
      <c r="AH14" s="1">
        <v>0</v>
      </c>
      <c r="AI14" s="1">
        <v>28</v>
      </c>
      <c r="AK14" s="1" cm="1">
        <f t="array" ref="AK1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9</v>
      </c>
      <c r="AL14" t="str">
        <v>Seb Ashton</v>
      </c>
      <c r="AM14" s="1">
        <v>4</v>
      </c>
      <c r="AN14" s="4">
        <v>4.1921296296296297E-2</v>
      </c>
      <c r="AO14" s="1">
        <v>27</v>
      </c>
      <c r="AP14" s="1">
        <v>0</v>
      </c>
      <c r="AQ14" s="1">
        <v>27</v>
      </c>
      <c r="AS14" s="1" t="str" cm="1">
        <f t="array" ref="AS1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4" s="1" t="str" cm="1">
        <f t="array" ref="BA1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5" spans="1:59" x14ac:dyDescent="0.2">
      <c r="A15" s="1" cm="1">
        <f t="array" ref="A1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12</v>
      </c>
      <c r="B15" s="8" t="str">
        <v>Raif Oz</v>
      </c>
      <c r="C15" s="1">
        <v>129</v>
      </c>
      <c r="E15" s="1" cm="1">
        <f t="array" ref="E1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11</v>
      </c>
      <c r="F15" t="str">
        <v>Neal Beauchamp</v>
      </c>
      <c r="G15" s="1">
        <v>11</v>
      </c>
      <c r="H15" s="4">
        <v>2.431712962962963E-2</v>
      </c>
      <c r="I15" s="1">
        <v>20</v>
      </c>
      <c r="J15" s="1">
        <v>6</v>
      </c>
      <c r="K15" s="1">
        <v>26</v>
      </c>
      <c r="M15" s="1" cm="1">
        <f t="array" ref="M1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12</v>
      </c>
      <c r="N15" t="str">
        <v>Neal Beauchamp</v>
      </c>
      <c r="O15" s="1">
        <v>10</v>
      </c>
      <c r="P15" s="4">
        <v>2.0300925925925927E-2</v>
      </c>
      <c r="Q15" s="1">
        <v>21</v>
      </c>
      <c r="R15" s="1">
        <v>6</v>
      </c>
      <c r="S15" s="1">
        <v>27</v>
      </c>
      <c r="U15" s="1" cm="1">
        <f t="array" ref="U1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12</v>
      </c>
      <c r="V15" t="str">
        <v>Eamon Mason</v>
      </c>
      <c r="W15" s="1">
        <v>17</v>
      </c>
      <c r="X15" s="4">
        <v>3.290509259259259E-2</v>
      </c>
      <c r="Y15" s="1">
        <v>14</v>
      </c>
      <c r="Z15" s="1">
        <v>12</v>
      </c>
      <c r="AA15" s="1">
        <v>26</v>
      </c>
      <c r="AC15" s="1" cm="1">
        <f t="array" ref="AC1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12</v>
      </c>
      <c r="AD15" t="str">
        <v>David Wong</v>
      </c>
      <c r="AE15" s="1">
        <v>17</v>
      </c>
      <c r="AF15" s="4">
        <v>2.2407407407407407E-2</v>
      </c>
      <c r="AG15" s="1">
        <v>14</v>
      </c>
      <c r="AH15" s="1">
        <v>12</v>
      </c>
      <c r="AI15" s="1">
        <v>26</v>
      </c>
      <c r="AK15" s="1" cm="1">
        <f t="array" ref="AK1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12</v>
      </c>
      <c r="AL15" t="str">
        <v>Gordon Reid</v>
      </c>
      <c r="AM15" s="1">
        <v>17</v>
      </c>
      <c r="AN15" s="4">
        <v>4.5717592592592594E-2</v>
      </c>
      <c r="AO15" s="1">
        <v>14</v>
      </c>
      <c r="AP15" s="1">
        <v>12</v>
      </c>
      <c r="AQ15" s="1">
        <v>26</v>
      </c>
      <c r="AS15" s="1" t="str" cm="1">
        <f t="array" ref="AS1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5" s="1" t="str" cm="1">
        <f t="array" ref="BA1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6" spans="1:59" x14ac:dyDescent="0.2">
      <c r="A16" s="1" cm="1">
        <f t="array" ref="A1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13</v>
      </c>
      <c r="B16" s="8" t="str">
        <v>Alex Robertson</v>
      </c>
      <c r="C16" s="1">
        <v>128</v>
      </c>
      <c r="E16" s="1" cm="1">
        <f t="array" ref="E1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11</v>
      </c>
      <c r="F16" t="str">
        <v>Raif Oz</v>
      </c>
      <c r="G16" s="1">
        <v>5</v>
      </c>
      <c r="H16" s="4">
        <v>2.3726851851851853E-2</v>
      </c>
      <c r="I16" s="1">
        <v>26</v>
      </c>
      <c r="J16" s="1">
        <v>0</v>
      </c>
      <c r="K16" s="1">
        <v>26</v>
      </c>
      <c r="M16" s="1" cm="1">
        <f t="array" ref="M1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12</v>
      </c>
      <c r="N16" t="str">
        <v>Seb Ashton</v>
      </c>
      <c r="O16" s="1">
        <v>4</v>
      </c>
      <c r="P16" s="4">
        <v>1.9976851851851853E-2</v>
      </c>
      <c r="Q16" s="1">
        <v>27</v>
      </c>
      <c r="R16" s="1">
        <v>0</v>
      </c>
      <c r="S16" s="1">
        <v>27</v>
      </c>
      <c r="U16" s="1" cm="1">
        <f t="array" ref="U1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12</v>
      </c>
      <c r="V16" t="str">
        <v>Jonny Bodey</v>
      </c>
      <c r="W16" s="1">
        <v>11</v>
      </c>
      <c r="X16" s="4">
        <v>3.2094907407407405E-2</v>
      </c>
      <c r="Y16" s="1">
        <v>20</v>
      </c>
      <c r="Z16" s="1">
        <v>6</v>
      </c>
      <c r="AA16" s="1">
        <v>26</v>
      </c>
      <c r="AC16" s="1" cm="1">
        <f t="array" ref="AC1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12</v>
      </c>
      <c r="AD16" t="str">
        <v>Seb Ashton</v>
      </c>
      <c r="AE16" s="1">
        <v>5</v>
      </c>
      <c r="AF16" s="4">
        <v>2.1250000000000002E-2</v>
      </c>
      <c r="AG16" s="1">
        <v>26</v>
      </c>
      <c r="AH16" s="1">
        <v>0</v>
      </c>
      <c r="AI16" s="1">
        <v>26</v>
      </c>
      <c r="AK16" s="1" cm="1">
        <f t="array" ref="AK1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12</v>
      </c>
      <c r="AL16" t="str">
        <v>Neal Beauchamp</v>
      </c>
      <c r="AM16" s="1">
        <v>11</v>
      </c>
      <c r="AN16" s="4">
        <v>4.462962962962963E-2</v>
      </c>
      <c r="AO16" s="1">
        <v>20</v>
      </c>
      <c r="AP16" s="1">
        <v>6</v>
      </c>
      <c r="AQ16" s="1">
        <v>26</v>
      </c>
      <c r="AS16" s="1" t="str" cm="1">
        <f t="array" ref="AS1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6" s="1" t="str" cm="1">
        <f t="array" ref="BA16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7" spans="1:53" x14ac:dyDescent="0.2">
      <c r="A17" s="1" cm="1">
        <f t="array" ref="A1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13</v>
      </c>
      <c r="B17" s="8" t="str">
        <v>Denis Whelan</v>
      </c>
      <c r="C17" s="1">
        <v>128</v>
      </c>
      <c r="E17" s="1" cm="1">
        <f t="array" ref="E1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14</v>
      </c>
      <c r="F17" t="str">
        <v>Denis Whelan</v>
      </c>
      <c r="G17" s="1">
        <v>12</v>
      </c>
      <c r="H17" s="4">
        <v>2.4432870370370369E-2</v>
      </c>
      <c r="I17" s="1">
        <v>19</v>
      </c>
      <c r="J17" s="1">
        <v>6</v>
      </c>
      <c r="K17" s="1">
        <v>25</v>
      </c>
      <c r="M17" s="1" cm="1">
        <f t="array" ref="M1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14</v>
      </c>
      <c r="N17" t="str">
        <v>Denis Whelan</v>
      </c>
      <c r="O17" s="1">
        <v>11</v>
      </c>
      <c r="P17" s="4">
        <v>2.0335648148148148E-2</v>
      </c>
      <c r="Q17" s="1">
        <v>20</v>
      </c>
      <c r="R17" s="1">
        <v>6</v>
      </c>
      <c r="S17" s="1">
        <v>26</v>
      </c>
      <c r="U17" s="1" cm="1">
        <f t="array" ref="U1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14</v>
      </c>
      <c r="V17" t="str">
        <v>Denis Whelan</v>
      </c>
      <c r="W17" s="1">
        <v>12</v>
      </c>
      <c r="X17" s="4">
        <v>3.2106481481481479E-2</v>
      </c>
      <c r="Y17" s="1">
        <v>19</v>
      </c>
      <c r="Z17" s="1">
        <v>6</v>
      </c>
      <c r="AA17" s="1">
        <v>25</v>
      </c>
      <c r="AC17" s="1" cm="1">
        <f t="array" ref="AC1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14</v>
      </c>
      <c r="AD17" t="str">
        <v>Bill McClatchie</v>
      </c>
      <c r="AE17" s="1">
        <v>18</v>
      </c>
      <c r="AF17" s="4">
        <v>2.2465277777777778E-2</v>
      </c>
      <c r="AG17" s="1">
        <v>13</v>
      </c>
      <c r="AH17" s="1">
        <v>12</v>
      </c>
      <c r="AI17" s="1">
        <v>25</v>
      </c>
      <c r="AK17" s="1" cm="1">
        <f t="array" ref="AK1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14</v>
      </c>
      <c r="AL17" t="str">
        <v>Alex Tate</v>
      </c>
      <c r="AM17" s="1">
        <v>18</v>
      </c>
      <c r="AN17" s="4">
        <v>4.5740740740740742E-2</v>
      </c>
      <c r="AO17" s="1">
        <v>13</v>
      </c>
      <c r="AP17" s="1">
        <v>12</v>
      </c>
      <c r="AQ17" s="1">
        <v>25</v>
      </c>
      <c r="AS17" s="1" t="str" cm="1">
        <f t="array" ref="AS1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7" s="1" t="str" cm="1">
        <f t="array" ref="BA17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8" spans="1:53" x14ac:dyDescent="0.2">
      <c r="A18" s="1" cm="1">
        <f t="array" ref="A1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15</v>
      </c>
      <c r="B18" s="8" t="str">
        <v>Eamon Mason</v>
      </c>
      <c r="C18" s="1">
        <v>125</v>
      </c>
      <c r="E18" s="1" cm="1">
        <f t="array" ref="E1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14</v>
      </c>
      <c r="F18" t="str">
        <v>James Bowden</v>
      </c>
      <c r="G18" s="1">
        <v>18</v>
      </c>
      <c r="H18" s="4">
        <v>2.5000000000000001E-2</v>
      </c>
      <c r="I18" s="1">
        <v>13</v>
      </c>
      <c r="J18" s="1">
        <v>12</v>
      </c>
      <c r="K18" s="1">
        <v>25</v>
      </c>
      <c r="M18" s="1" cm="1">
        <f t="array" ref="M1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14</v>
      </c>
      <c r="N18" t="str">
        <v>James Bowden</v>
      </c>
      <c r="O18" s="1">
        <v>17</v>
      </c>
      <c r="P18" s="4">
        <v>2.087962962962963E-2</v>
      </c>
      <c r="Q18" s="1">
        <v>14</v>
      </c>
      <c r="R18" s="1">
        <v>12</v>
      </c>
      <c r="S18" s="1">
        <v>26</v>
      </c>
      <c r="U18" s="1" cm="1">
        <f t="array" ref="U1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14</v>
      </c>
      <c r="V18" t="str">
        <v>James Bowden</v>
      </c>
      <c r="W18" s="1">
        <v>18</v>
      </c>
      <c r="X18" s="4">
        <v>3.2916666666666664E-2</v>
      </c>
      <c r="Y18" s="1">
        <v>13</v>
      </c>
      <c r="Z18" s="1">
        <v>12</v>
      </c>
      <c r="AA18" s="1">
        <v>25</v>
      </c>
      <c r="AC18" s="1" cm="1">
        <f t="array" ref="AC1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14</v>
      </c>
      <c r="AD18" t="str">
        <v>Chris Jenkins</v>
      </c>
      <c r="AE18" s="1">
        <v>12</v>
      </c>
      <c r="AF18" s="4">
        <v>2.1759259259259259E-2</v>
      </c>
      <c r="AG18" s="1">
        <v>19</v>
      </c>
      <c r="AH18" s="1">
        <v>6</v>
      </c>
      <c r="AI18" s="1">
        <v>25</v>
      </c>
      <c r="AK18" s="1" cm="1">
        <f t="array" ref="AK1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14</v>
      </c>
      <c r="AL18" t="str">
        <v>Chris Jenkins</v>
      </c>
      <c r="AM18" s="1">
        <v>12</v>
      </c>
      <c r="AN18" s="4">
        <v>4.4837962962962961E-2</v>
      </c>
      <c r="AO18" s="1">
        <v>19</v>
      </c>
      <c r="AP18" s="1">
        <v>6</v>
      </c>
      <c r="AQ18" s="1">
        <v>25</v>
      </c>
      <c r="AS18" s="1" t="str" cm="1">
        <f t="array" ref="AS1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8" s="1" t="str" cm="1">
        <f t="array" ref="BA18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9" spans="1:53" x14ac:dyDescent="0.2">
      <c r="A19" s="1" cm="1">
        <f t="array" ref="A1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16</v>
      </c>
      <c r="B19" s="8" t="str">
        <v>Alex Tate</v>
      </c>
      <c r="C19" s="1">
        <v>122</v>
      </c>
      <c r="E19" s="1" cm="1">
        <f t="array" ref="E1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16</v>
      </c>
      <c r="F19" t="str">
        <v>Alex Robertson</v>
      </c>
      <c r="G19" s="1">
        <v>19</v>
      </c>
      <c r="H19" s="4">
        <v>2.5092592592592593E-2</v>
      </c>
      <c r="I19" s="1">
        <v>12</v>
      </c>
      <c r="J19" s="1">
        <v>12</v>
      </c>
      <c r="K19" s="1">
        <v>24</v>
      </c>
      <c r="M19" s="1" cm="1">
        <f t="array" ref="M1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16</v>
      </c>
      <c r="N19" t="str">
        <v>Alex Tate</v>
      </c>
      <c r="O19" s="1">
        <v>18</v>
      </c>
      <c r="P19" s="4">
        <v>2.1296296296296296E-2</v>
      </c>
      <c r="Q19" s="1">
        <v>13</v>
      </c>
      <c r="R19" s="1">
        <v>12</v>
      </c>
      <c r="S19" s="1">
        <v>25</v>
      </c>
      <c r="U19" s="1" cm="1">
        <f t="array" ref="U1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16</v>
      </c>
      <c r="V19" t="str">
        <v>Alex Robertson</v>
      </c>
      <c r="W19" s="1">
        <v>19</v>
      </c>
      <c r="X19" s="4">
        <v>3.3101851851851855E-2</v>
      </c>
      <c r="Y19" s="1">
        <v>12</v>
      </c>
      <c r="Z19" s="1">
        <v>12</v>
      </c>
      <c r="AA19" s="1">
        <v>24</v>
      </c>
      <c r="AC19" s="1" cm="1">
        <f t="array" ref="AC1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16</v>
      </c>
      <c r="AD19" t="str">
        <v>Richard Halls</v>
      </c>
      <c r="AE19" s="1">
        <v>20</v>
      </c>
      <c r="AF19" s="4">
        <v>2.252314814814815E-2</v>
      </c>
      <c r="AG19" s="1">
        <v>11</v>
      </c>
      <c r="AH19" s="1">
        <v>12</v>
      </c>
      <c r="AI19" s="1">
        <v>23</v>
      </c>
      <c r="AK19" s="1" cm="1">
        <f t="array" ref="AK1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14</v>
      </c>
      <c r="AL19" t="str">
        <v>Raif Oz</v>
      </c>
      <c r="AM19" s="1">
        <v>6</v>
      </c>
      <c r="AN19" s="4">
        <v>4.2615740740740739E-2</v>
      </c>
      <c r="AO19" s="1">
        <v>25</v>
      </c>
      <c r="AP19" s="1">
        <v>0</v>
      </c>
      <c r="AQ19" s="1">
        <v>25</v>
      </c>
      <c r="AS19" s="1" t="str" cm="1">
        <f t="array" ref="AS1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9" s="1" t="str" cm="1">
        <f t="array" ref="BA19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0" spans="1:53" x14ac:dyDescent="0.2">
      <c r="A20" s="1" cm="1">
        <f t="array" ref="A2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17</v>
      </c>
      <c r="B20" s="8" t="str">
        <v>Bill McClatchie</v>
      </c>
      <c r="C20" s="1">
        <v>121</v>
      </c>
      <c r="E20" s="1" cm="1">
        <f t="array" ref="E2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16</v>
      </c>
      <c r="F20" t="str">
        <v>Jonny Bodey</v>
      </c>
      <c r="G20" s="1">
        <v>13</v>
      </c>
      <c r="H20" s="4">
        <v>2.4687500000000001E-2</v>
      </c>
      <c r="I20" s="1">
        <v>18</v>
      </c>
      <c r="J20" s="1">
        <v>6</v>
      </c>
      <c r="K20" s="1">
        <v>24</v>
      </c>
      <c r="M20" s="1" cm="1">
        <f t="array" ref="M2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16</v>
      </c>
      <c r="N20" t="str">
        <v>Jonny Bodey</v>
      </c>
      <c r="O20" s="1">
        <v>12</v>
      </c>
      <c r="P20" s="4">
        <v>2.0335648148148148E-2</v>
      </c>
      <c r="Q20" s="1">
        <v>19</v>
      </c>
      <c r="R20" s="1">
        <v>6</v>
      </c>
      <c r="S20" s="1">
        <v>25</v>
      </c>
      <c r="U20" s="1" cm="1">
        <f t="array" ref="U2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16</v>
      </c>
      <c r="V20" t="str">
        <v>Neil Grunshaw</v>
      </c>
      <c r="W20" s="1">
        <v>13</v>
      </c>
      <c r="X20" s="4">
        <v>3.2349537037037038E-2</v>
      </c>
      <c r="Y20" s="1">
        <v>18</v>
      </c>
      <c r="Z20" s="1">
        <v>6</v>
      </c>
      <c r="AA20" s="1">
        <v>24</v>
      </c>
      <c r="AC20" s="1" cm="1">
        <f t="array" ref="AC2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16</v>
      </c>
      <c r="AD20" t="str">
        <v>James Armitage-Hobbs</v>
      </c>
      <c r="AE20" s="1">
        <v>21</v>
      </c>
      <c r="AF20" s="4">
        <v>2.2604166666666668E-2</v>
      </c>
      <c r="AG20" s="1">
        <v>10</v>
      </c>
      <c r="AH20" s="1">
        <v>12</v>
      </c>
      <c r="AI20" s="1">
        <v>22</v>
      </c>
      <c r="AK20" s="1" cm="1">
        <f t="array" ref="AK2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17</v>
      </c>
      <c r="AL20" t="str">
        <v>Conor Walsh</v>
      </c>
      <c r="AM20" s="1">
        <v>7</v>
      </c>
      <c r="AN20" s="4">
        <v>4.3240740740740739E-2</v>
      </c>
      <c r="AO20" s="1">
        <v>24</v>
      </c>
      <c r="AP20" s="1">
        <v>0</v>
      </c>
      <c r="AQ20" s="1">
        <v>24</v>
      </c>
      <c r="AS20" s="1" t="str" cm="1">
        <f t="array" ref="AS2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0" s="1" t="str" cm="1">
        <f t="array" ref="BA20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1" spans="1:53" x14ac:dyDescent="0.2">
      <c r="A21" s="1" cm="1">
        <f t="array" ref="A2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18</v>
      </c>
      <c r="B21" s="8" t="str">
        <v>Jonny Bodey</v>
      </c>
      <c r="C21" s="1">
        <v>120</v>
      </c>
      <c r="E21" s="1" cm="1">
        <f t="array" ref="E2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18</v>
      </c>
      <c r="F21" t="str">
        <v>Alex Tate</v>
      </c>
      <c r="G21" s="1">
        <v>20</v>
      </c>
      <c r="H21" s="4">
        <v>2.5127314814814814E-2</v>
      </c>
      <c r="I21" s="1">
        <v>11</v>
      </c>
      <c r="J21" s="1">
        <v>12</v>
      </c>
      <c r="K21" s="1">
        <v>23</v>
      </c>
      <c r="M21" s="1" cm="1">
        <f t="array" ref="M2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18</v>
      </c>
      <c r="N21" t="str">
        <v>Bill McClatchie</v>
      </c>
      <c r="O21" s="1">
        <v>19</v>
      </c>
      <c r="P21" s="4">
        <v>2.1296296296296296E-2</v>
      </c>
      <c r="Q21" s="1">
        <v>12</v>
      </c>
      <c r="R21" s="1">
        <v>12</v>
      </c>
      <c r="S21" s="1">
        <v>24</v>
      </c>
      <c r="U21" s="1" cm="1">
        <f t="array" ref="U2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18</v>
      </c>
      <c r="V21" t="str">
        <v>James Armitage-Hobbs</v>
      </c>
      <c r="W21" s="1">
        <v>20</v>
      </c>
      <c r="X21" s="4">
        <v>3.3125000000000002E-2</v>
      </c>
      <c r="Y21" s="1">
        <v>11</v>
      </c>
      <c r="Z21" s="1">
        <v>12</v>
      </c>
      <c r="AA21" s="1">
        <v>23</v>
      </c>
      <c r="AC21" s="1" cm="1">
        <f t="array" ref="AC2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18</v>
      </c>
      <c r="AD21" t="str">
        <v>Gordon Reid</v>
      </c>
      <c r="AE21" s="1">
        <v>22</v>
      </c>
      <c r="AF21" s="4">
        <v>2.2824074074074073E-2</v>
      </c>
      <c r="AG21" s="1">
        <v>9</v>
      </c>
      <c r="AH21" s="1">
        <v>12</v>
      </c>
      <c r="AI21" s="1">
        <v>21</v>
      </c>
      <c r="AK21" s="1" cm="1">
        <f t="array" ref="AK2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17</v>
      </c>
      <c r="AL21" t="str">
        <v>Denis Whelan</v>
      </c>
      <c r="AM21" s="1">
        <v>13</v>
      </c>
      <c r="AN21" s="4">
        <v>4.5023148148148145E-2</v>
      </c>
      <c r="AO21" s="1">
        <v>18</v>
      </c>
      <c r="AP21" s="1">
        <v>6</v>
      </c>
      <c r="AQ21" s="1">
        <v>24</v>
      </c>
      <c r="AS21" s="1" t="str" cm="1">
        <f t="array" ref="AS2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1" s="1" t="str" cm="1">
        <f t="array" ref="BA21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2" spans="1:53" x14ac:dyDescent="0.2">
      <c r="A22" s="1" cm="1">
        <f t="array" ref="A2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19</v>
      </c>
      <c r="B22" s="8" t="str">
        <v>Gordon Reid</v>
      </c>
      <c r="C22" s="1">
        <v>118</v>
      </c>
      <c r="E22" s="1" cm="1">
        <f t="array" ref="E2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19</v>
      </c>
      <c r="F22" t="str">
        <v>Tobi Rosenkranz</v>
      </c>
      <c r="G22" s="1">
        <v>15</v>
      </c>
      <c r="H22" s="4">
        <v>2.4884259259259259E-2</v>
      </c>
      <c r="I22" s="1">
        <v>16</v>
      </c>
      <c r="J22" s="1">
        <v>6</v>
      </c>
      <c r="K22" s="1">
        <v>22</v>
      </c>
      <c r="M22" s="1" cm="1">
        <f t="array" ref="M2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19</v>
      </c>
      <c r="N22" t="str">
        <v>Gordon Reid</v>
      </c>
      <c r="O22" s="1">
        <v>20</v>
      </c>
      <c r="P22" s="4">
        <v>2.1643518518518517E-2</v>
      </c>
      <c r="Q22" s="1">
        <v>11</v>
      </c>
      <c r="R22" s="1">
        <v>12</v>
      </c>
      <c r="S22" s="1">
        <v>23</v>
      </c>
      <c r="U22" s="1" cm="1">
        <f t="array" ref="U2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19</v>
      </c>
      <c r="V22" t="str">
        <v>Bill McClatchie</v>
      </c>
      <c r="W22" s="1">
        <v>21</v>
      </c>
      <c r="X22" s="4">
        <v>3.4097222222222223E-2</v>
      </c>
      <c r="Y22" s="1">
        <v>10</v>
      </c>
      <c r="Z22" s="1">
        <v>12</v>
      </c>
      <c r="AA22" s="1">
        <v>22</v>
      </c>
      <c r="AC22" s="1" cm="1">
        <f t="array" ref="AC2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19</v>
      </c>
      <c r="AD22" t="str">
        <v>Tobi Rosenkranz</v>
      </c>
      <c r="AE22" s="1">
        <v>16</v>
      </c>
      <c r="AF22" s="4">
        <v>2.2129629629629631E-2</v>
      </c>
      <c r="AG22" s="1">
        <v>15</v>
      </c>
      <c r="AH22" s="1">
        <v>6</v>
      </c>
      <c r="AI22" s="1">
        <v>21</v>
      </c>
      <c r="AK22" s="1" cm="1">
        <f t="array" ref="AK2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17</v>
      </c>
      <c r="AL22" t="str">
        <v>Eamon Mason</v>
      </c>
      <c r="AM22" s="1">
        <v>19</v>
      </c>
      <c r="AN22" s="4">
        <v>4.6134259259259257E-2</v>
      </c>
      <c r="AO22" s="1">
        <v>12</v>
      </c>
      <c r="AP22" s="1">
        <v>12</v>
      </c>
      <c r="AQ22" s="1">
        <v>24</v>
      </c>
      <c r="AS22" s="1" t="str" cm="1">
        <f t="array" ref="AS2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2" s="1" t="str" cm="1">
        <f t="array" ref="BA22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3" spans="1:53" x14ac:dyDescent="0.2">
      <c r="A23" s="1" cm="1">
        <f t="array" ref="A2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20</v>
      </c>
      <c r="B23" s="8" t="str">
        <v>James Armitage-Hobbs</v>
      </c>
      <c r="C23" s="1">
        <v>113</v>
      </c>
      <c r="E23" s="1" cm="1">
        <f t="array" ref="E2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20</v>
      </c>
      <c r="F23" t="str">
        <v>Conor Walsh</v>
      </c>
      <c r="G23" s="1">
        <v>10</v>
      </c>
      <c r="H23" s="4">
        <v>2.4282407407407409E-2</v>
      </c>
      <c r="I23" s="1">
        <v>21</v>
      </c>
      <c r="J23" s="1">
        <v>0</v>
      </c>
      <c r="K23" s="1">
        <v>21</v>
      </c>
      <c r="M23" s="1" cm="1">
        <f t="array" ref="M2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20</v>
      </c>
      <c r="N23" t="str">
        <v>Alex Robertson</v>
      </c>
      <c r="O23" s="1">
        <v>21</v>
      </c>
      <c r="P23" s="4">
        <v>2.1701388888888888E-2</v>
      </c>
      <c r="Q23" s="1">
        <v>10</v>
      </c>
      <c r="R23" s="1">
        <v>12</v>
      </c>
      <c r="S23" s="1">
        <v>22</v>
      </c>
      <c r="U23" s="1" cm="1">
        <f t="array" ref="U2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20</v>
      </c>
      <c r="V23" t="str">
        <v>Alex Tate</v>
      </c>
      <c r="W23" s="1">
        <v>22</v>
      </c>
      <c r="X23" s="4">
        <v>3.4375000000000003E-2</v>
      </c>
      <c r="Y23" s="1">
        <v>9</v>
      </c>
      <c r="Z23" s="1">
        <v>12</v>
      </c>
      <c r="AA23" s="1">
        <v>21</v>
      </c>
      <c r="AC23" s="1" cm="1">
        <f t="array" ref="AC2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20</v>
      </c>
      <c r="AD23" t="str">
        <v>Eamon Mason</v>
      </c>
      <c r="AE23" s="1">
        <v>23</v>
      </c>
      <c r="AF23" s="4">
        <v>2.3136574074074073E-2</v>
      </c>
      <c r="AG23" s="1">
        <v>8</v>
      </c>
      <c r="AH23" s="1">
        <v>12</v>
      </c>
      <c r="AI23" s="1">
        <v>20</v>
      </c>
      <c r="AK23" s="1" cm="1">
        <f t="array" ref="AK2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20</v>
      </c>
      <c r="AL23" t="str">
        <v>Bill McClatchie</v>
      </c>
      <c r="AM23" s="1">
        <v>20</v>
      </c>
      <c r="AN23" s="4">
        <v>4.6331018518518521E-2</v>
      </c>
      <c r="AO23" s="1">
        <v>11</v>
      </c>
      <c r="AP23" s="1">
        <v>12</v>
      </c>
      <c r="AQ23" s="1">
        <v>23</v>
      </c>
      <c r="AS23" s="1" t="str" cm="1">
        <f t="array" ref="AS2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3" s="1" t="str" cm="1">
        <f t="array" ref="BA23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4" spans="1:53" x14ac:dyDescent="0.2">
      <c r="A24" s="1" cm="1">
        <f t="array" ref="A2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21</v>
      </c>
      <c r="B24" s="8" t="str">
        <v>Richard Halls</v>
      </c>
      <c r="C24" s="1">
        <v>104</v>
      </c>
      <c r="E24" s="1" cm="1">
        <f t="array" ref="E2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21</v>
      </c>
      <c r="F24" t="str">
        <v>Gordon Reid</v>
      </c>
      <c r="G24" s="1">
        <v>23</v>
      </c>
      <c r="H24" s="4">
        <v>2.5567129629629631E-2</v>
      </c>
      <c r="I24" s="1">
        <v>8</v>
      </c>
      <c r="J24" s="1">
        <v>12</v>
      </c>
      <c r="K24" s="1">
        <v>20</v>
      </c>
      <c r="M24" s="1" cm="1">
        <f t="array" ref="M2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21</v>
      </c>
      <c r="N24" t="str">
        <v>Richard Halls</v>
      </c>
      <c r="O24" s="1">
        <v>22</v>
      </c>
      <c r="P24" s="4">
        <v>2.1736111111111112E-2</v>
      </c>
      <c r="Q24" s="1">
        <v>9</v>
      </c>
      <c r="R24" s="1">
        <v>12</v>
      </c>
      <c r="S24" s="1">
        <v>21</v>
      </c>
      <c r="U24" s="1" cm="1">
        <f t="array" ref="U2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20</v>
      </c>
      <c r="V24" t="str">
        <v>Conor Walsh</v>
      </c>
      <c r="W24" s="1">
        <v>10</v>
      </c>
      <c r="X24" s="4">
        <v>3.1921296296296295E-2</v>
      </c>
      <c r="Y24" s="1">
        <v>21</v>
      </c>
      <c r="Z24" s="1">
        <v>0</v>
      </c>
      <c r="AA24" s="1">
        <v>21</v>
      </c>
      <c r="AC24" s="1" cm="1">
        <f t="array" ref="AC2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20</v>
      </c>
      <c r="AD24" t="str">
        <v>Raif Oz</v>
      </c>
      <c r="AE24" s="1">
        <v>11</v>
      </c>
      <c r="AF24" s="4">
        <v>2.1666666666666667E-2</v>
      </c>
      <c r="AG24" s="1">
        <v>20</v>
      </c>
      <c r="AH24" s="1">
        <v>0</v>
      </c>
      <c r="AI24" s="1">
        <v>20</v>
      </c>
      <c r="AK24" s="1" cm="1">
        <f t="array" ref="AK2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21</v>
      </c>
      <c r="AL24" t="str">
        <v>James Armitage-Hobbs</v>
      </c>
      <c r="AM24" s="1">
        <v>21</v>
      </c>
      <c r="AN24" s="4">
        <v>4.7129629629629632E-2</v>
      </c>
      <c r="AO24" s="1">
        <v>10</v>
      </c>
      <c r="AP24" s="1">
        <v>12</v>
      </c>
      <c r="AQ24" s="1">
        <v>22</v>
      </c>
      <c r="AS24" s="1" t="str" cm="1">
        <f t="array" ref="AS2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4" s="1" t="str" cm="1">
        <f t="array" ref="BA2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5" spans="1:53" x14ac:dyDescent="0.2">
      <c r="A25" s="1" cm="1">
        <f t="array" ref="A2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22</v>
      </c>
      <c r="B25" s="8" t="str">
        <v>Tobi Rosenkranz</v>
      </c>
      <c r="C25" s="1">
        <v>97</v>
      </c>
      <c r="E25" s="1" cm="1">
        <f t="array" ref="E2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22</v>
      </c>
      <c r="F25" t="str">
        <v>Richard Halls</v>
      </c>
      <c r="G25" s="1">
        <v>24</v>
      </c>
      <c r="H25" s="4">
        <v>2.5914351851851852E-2</v>
      </c>
      <c r="I25" s="1">
        <v>7</v>
      </c>
      <c r="J25" s="1">
        <v>12</v>
      </c>
      <c r="K25" s="1">
        <v>19</v>
      </c>
      <c r="M25" s="1" cm="1">
        <f t="array" ref="M2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21</v>
      </c>
      <c r="N25" t="str">
        <v>Tobi Rosenkranz</v>
      </c>
      <c r="O25" s="1">
        <v>16</v>
      </c>
      <c r="P25" s="4">
        <v>2.0844907407407406E-2</v>
      </c>
      <c r="Q25" s="1">
        <v>15</v>
      </c>
      <c r="R25" s="1">
        <v>6</v>
      </c>
      <c r="S25" s="1">
        <v>21</v>
      </c>
      <c r="U25" s="1" cm="1">
        <f t="array" ref="U2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20</v>
      </c>
      <c r="V25" t="str">
        <v>Tobi Rosenkranz</v>
      </c>
      <c r="W25" s="1">
        <v>16</v>
      </c>
      <c r="X25" s="4">
        <v>3.2870370370370369E-2</v>
      </c>
      <c r="Y25" s="1">
        <v>15</v>
      </c>
      <c r="Z25" s="1">
        <v>6</v>
      </c>
      <c r="AA25" s="1">
        <v>21</v>
      </c>
      <c r="AC25" s="1" cm="1">
        <f t="array" ref="AC2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20</v>
      </c>
      <c r="AD25" t="str">
        <v>Rupert Gordon-Watkins</v>
      </c>
      <c r="AE25" s="1">
        <v>24</v>
      </c>
      <c r="AF25" s="4">
        <v>2.4571759259259258E-2</v>
      </c>
      <c r="AG25" s="1">
        <v>7</v>
      </c>
      <c r="AH25" s="1">
        <v>12</v>
      </c>
      <c r="AI25" s="1">
        <v>19</v>
      </c>
      <c r="AK25" s="1" cm="1">
        <f t="array" ref="AK2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22</v>
      </c>
      <c r="AL25" t="str">
        <v>Richard Halls</v>
      </c>
      <c r="AM25" s="1">
        <v>22</v>
      </c>
      <c r="AN25" s="4">
        <v>4.8935185185185186E-2</v>
      </c>
      <c r="AO25" s="1">
        <v>9</v>
      </c>
      <c r="AP25" s="1">
        <v>12</v>
      </c>
      <c r="AQ25" s="1">
        <v>21</v>
      </c>
      <c r="AS25" s="1" t="str" cm="1">
        <f t="array" ref="AS2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5" s="1" t="str" cm="1">
        <f t="array" ref="BA2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6" spans="1:53" x14ac:dyDescent="0.2">
      <c r="A26" s="1" cm="1">
        <f t="array" ref="A2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23</v>
      </c>
      <c r="B26" s="8" t="str">
        <v>Rupert Gordon-Watkins</v>
      </c>
      <c r="C26" s="1">
        <v>93</v>
      </c>
      <c r="E26" s="1" cm="1">
        <f t="array" ref="E2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23</v>
      </c>
      <c r="F26" t="str">
        <v>Olly Wright</v>
      </c>
      <c r="G26" s="1">
        <v>25</v>
      </c>
      <c r="H26" s="4">
        <v>2.5960648148148149E-2</v>
      </c>
      <c r="I26" s="1">
        <v>6</v>
      </c>
      <c r="J26" s="1">
        <v>12</v>
      </c>
      <c r="K26" s="1">
        <v>18</v>
      </c>
      <c r="M26" s="1" cm="1">
        <f t="array" ref="M2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23</v>
      </c>
      <c r="N26" t="str">
        <v>Olly Wright</v>
      </c>
      <c r="O26" s="1">
        <v>23</v>
      </c>
      <c r="P26" s="4">
        <v>2.2013888888888888E-2</v>
      </c>
      <c r="Q26" s="1">
        <v>8</v>
      </c>
      <c r="R26" s="1">
        <v>12</v>
      </c>
      <c r="S26" s="1">
        <v>20</v>
      </c>
      <c r="U26" s="1" cm="1">
        <f t="array" ref="U2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23</v>
      </c>
      <c r="V26" t="str">
        <v>Richard Halls</v>
      </c>
      <c r="W26" s="1">
        <v>23</v>
      </c>
      <c r="X26" s="4">
        <v>3.5879629629629629E-2</v>
      </c>
      <c r="Y26" s="1">
        <v>8</v>
      </c>
      <c r="Z26" s="1">
        <v>12</v>
      </c>
      <c r="AA26" s="1">
        <v>20</v>
      </c>
      <c r="AC26" s="1" cm="1">
        <f t="array" ref="AC2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23</v>
      </c>
      <c r="AD26" t="str">
        <v>Conor Walsh</v>
      </c>
      <c r="AE26" s="1">
        <v>13</v>
      </c>
      <c r="AF26" s="4">
        <v>2.1863425925925925E-2</v>
      </c>
      <c r="AG26" s="1">
        <v>18</v>
      </c>
      <c r="AH26" s="1">
        <v>0</v>
      </c>
      <c r="AI26" s="1">
        <v>18</v>
      </c>
      <c r="AK26" s="1" cm="1">
        <f t="array" ref="AK2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23</v>
      </c>
      <c r="AL26" t="str">
        <v>Rupert Gordon-Watkins</v>
      </c>
      <c r="AM26" s="1">
        <v>23</v>
      </c>
      <c r="AN26" s="4">
        <v>4.9212962962962965E-2</v>
      </c>
      <c r="AO26" s="1">
        <v>8</v>
      </c>
      <c r="AP26" s="1">
        <v>12</v>
      </c>
      <c r="AQ26" s="1">
        <v>20</v>
      </c>
      <c r="AS26" s="1" t="str" cm="1">
        <f t="array" ref="AS2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6" s="1" t="str" cm="1">
        <f t="array" ref="BA26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7" spans="1:53" x14ac:dyDescent="0.2">
      <c r="A27" s="1" cm="1">
        <f t="array" ref="A2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24</v>
      </c>
      <c r="B27" s="8" t="str">
        <v>Conor Walsh</v>
      </c>
      <c r="C27" s="1">
        <v>88</v>
      </c>
      <c r="E27" s="1" cm="1">
        <f t="array" ref="E2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24</v>
      </c>
      <c r="F27" t="str">
        <v>Rupert Gordon-Watkins</v>
      </c>
      <c r="G27" s="1">
        <v>26</v>
      </c>
      <c r="H27" s="4">
        <v>2.630787037037037E-2</v>
      </c>
      <c r="I27" s="1">
        <v>5</v>
      </c>
      <c r="J27" s="1">
        <v>12</v>
      </c>
      <c r="K27" s="1">
        <v>17</v>
      </c>
      <c r="M27" s="1" cm="1">
        <f t="array" ref="M2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24</v>
      </c>
      <c r="N27" t="str">
        <v>Rupert Gordon-Watkins</v>
      </c>
      <c r="O27" s="1">
        <v>25</v>
      </c>
      <c r="P27" s="4">
        <v>2.2881944444444444E-2</v>
      </c>
      <c r="Q27" s="1">
        <v>6</v>
      </c>
      <c r="R27" s="1">
        <v>12</v>
      </c>
      <c r="S27" s="1">
        <v>18</v>
      </c>
      <c r="U27" s="1" cm="1">
        <f t="array" ref="U2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24</v>
      </c>
      <c r="V27" t="str">
        <v>Rupert Gordon-Watkins</v>
      </c>
      <c r="W27" s="1">
        <v>24</v>
      </c>
      <c r="X27" s="4">
        <v>3.6736111111111108E-2</v>
      </c>
      <c r="Y27" s="1">
        <v>7</v>
      </c>
      <c r="Z27" s="1">
        <v>12</v>
      </c>
      <c r="AA27" s="1">
        <v>19</v>
      </c>
      <c r="AC27" s="1" cm="1">
        <f t="array" ref="AC2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24</v>
      </c>
      <c r="AD27" t="str">
        <v>Jonny Bodey</v>
      </c>
      <c r="AE27" s="1">
        <v>19</v>
      </c>
      <c r="AF27" s="4">
        <v>2.2499999999999999E-2</v>
      </c>
      <c r="AG27" s="1">
        <v>12</v>
      </c>
      <c r="AH27" s="1">
        <v>6</v>
      </c>
      <c r="AI27" s="1">
        <v>18</v>
      </c>
      <c r="AK27" s="1" cm="1">
        <f t="array" ref="AK2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24</v>
      </c>
      <c r="AL27" t="str">
        <v>Olly Wright</v>
      </c>
      <c r="AM27" s="1">
        <v>27</v>
      </c>
      <c r="AN27" s="4">
        <v>4.9212962962962965E-2</v>
      </c>
      <c r="AO27" s="1">
        <v>4</v>
      </c>
      <c r="AP27" s="1">
        <v>12</v>
      </c>
      <c r="AQ27" s="1">
        <v>16</v>
      </c>
      <c r="AS27" s="1" t="str" cm="1">
        <f t="array" ref="AS2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7" s="1" t="str" cm="1">
        <f t="array" ref="BA27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8" spans="1:53" x14ac:dyDescent="0.2">
      <c r="A28" s="1" cm="1">
        <f t="array" ref="A2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24</v>
      </c>
      <c r="B28" s="8" t="str">
        <v>Olly Wright</v>
      </c>
      <c r="C28" s="1">
        <v>88</v>
      </c>
      <c r="E28" s="1" cm="1">
        <f t="array" ref="E2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25</v>
      </c>
      <c r="F28" t="str">
        <v>James Armitage-Hobbs</v>
      </c>
      <c r="G28" s="1">
        <v>27</v>
      </c>
      <c r="H28" s="4">
        <v>2.6539351851851852E-2</v>
      </c>
      <c r="I28" s="1">
        <v>4</v>
      </c>
      <c r="J28" s="1">
        <v>12</v>
      </c>
      <c r="K28" s="1">
        <v>16</v>
      </c>
      <c r="M28" s="1" cm="1">
        <f t="array" ref="M2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25</v>
      </c>
      <c r="N28" t="str">
        <v>Richard Turner</v>
      </c>
      <c r="O28" s="1">
        <v>24</v>
      </c>
      <c r="P28" s="4">
        <v>2.2453703703703705E-2</v>
      </c>
      <c r="Q28" s="1">
        <v>7</v>
      </c>
      <c r="R28" s="1">
        <v>6</v>
      </c>
      <c r="S28" s="1">
        <v>13</v>
      </c>
      <c r="U28" s="1" cm="1">
        <f t="array" ref="U2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25</v>
      </c>
      <c r="V28" t="str">
        <v>Olly Wright</v>
      </c>
      <c r="W28" s="1">
        <v>27</v>
      </c>
      <c r="X28" s="4">
        <v>3.8819444444444441E-2</v>
      </c>
      <c r="Y28" s="1">
        <v>4</v>
      </c>
      <c r="Z28" s="1">
        <v>12</v>
      </c>
      <c r="AA28" s="1">
        <v>16</v>
      </c>
      <c r="AC28" s="1" cm="1">
        <f t="array" ref="AC2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25</v>
      </c>
      <c r="AD28" t="str">
        <v>Olly Wright</v>
      </c>
      <c r="AE28" s="1">
        <v>25</v>
      </c>
      <c r="AF28" s="4">
        <v>2.6655092592592591E-2</v>
      </c>
      <c r="AG28" s="1">
        <v>6</v>
      </c>
      <c r="AH28" s="1">
        <v>12</v>
      </c>
      <c r="AI28" s="1">
        <v>18</v>
      </c>
      <c r="AK28" s="1" cm="1">
        <f t="array" ref="AK2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25</v>
      </c>
      <c r="AL28" t="str">
        <v>Marcus Jones</v>
      </c>
      <c r="AM28" s="1">
        <v>24</v>
      </c>
      <c r="AN28" s="4">
        <v>4.9212962962962965E-2</v>
      </c>
      <c r="AO28" s="1">
        <v>7</v>
      </c>
      <c r="AP28" s="1">
        <v>6</v>
      </c>
      <c r="AQ28" s="1">
        <v>13</v>
      </c>
      <c r="AS28" s="1" t="str" cm="1">
        <f t="array" ref="AS2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8" s="1" t="str" cm="1">
        <f t="array" ref="BA28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9" spans="1:53" x14ac:dyDescent="0.2">
      <c r="A29" s="1" cm="1">
        <f t="array" ref="A2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26</v>
      </c>
      <c r="B29" s="8" t="str">
        <v>Marcus Jones</v>
      </c>
      <c r="C29" s="1">
        <v>62</v>
      </c>
      <c r="E29" s="1" cm="1">
        <f t="array" ref="E2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25</v>
      </c>
      <c r="F29" t="str">
        <v>Marcus Jones</v>
      </c>
      <c r="G29" s="1">
        <v>21</v>
      </c>
      <c r="H29" s="4">
        <v>2.5358796296296296E-2</v>
      </c>
      <c r="I29" s="1">
        <v>10</v>
      </c>
      <c r="J29" s="1">
        <v>6</v>
      </c>
      <c r="K29" s="1">
        <v>16</v>
      </c>
      <c r="M29" s="1" cm="1">
        <f t="array" ref="M2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26</v>
      </c>
      <c r="N29" t="str">
        <v>Marcus Jones</v>
      </c>
      <c r="O29" s="1">
        <v>26</v>
      </c>
      <c r="P29" s="4">
        <v>2.4537037037037038E-2</v>
      </c>
      <c r="Q29" s="1">
        <v>5</v>
      </c>
      <c r="R29" s="1">
        <v>6</v>
      </c>
      <c r="S29" s="1">
        <v>11</v>
      </c>
      <c r="U29" s="1" cm="1">
        <f t="array" ref="U2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26</v>
      </c>
      <c r="V29" t="str">
        <v>Marcus Jones</v>
      </c>
      <c r="W29" s="1">
        <v>25</v>
      </c>
      <c r="X29" s="4">
        <v>3.8819444444444441E-2</v>
      </c>
      <c r="Y29" s="1">
        <v>6</v>
      </c>
      <c r="Z29" s="1">
        <v>6</v>
      </c>
      <c r="AA29" s="1">
        <v>12</v>
      </c>
      <c r="AC29" s="1" cm="1">
        <f t="array" ref="AC2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26</v>
      </c>
      <c r="AD29" t="str">
        <v>Richard Turner</v>
      </c>
      <c r="AE29" s="1">
        <v>26</v>
      </c>
      <c r="AF29" s="4">
        <v>2.6655092592592591E-2</v>
      </c>
      <c r="AG29" s="1">
        <v>5</v>
      </c>
      <c r="AH29" s="1">
        <v>6</v>
      </c>
      <c r="AI29" s="1">
        <v>11</v>
      </c>
      <c r="AK29" s="1" cm="1">
        <f t="array" ref="AK2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26</v>
      </c>
      <c r="AL29" t="str">
        <v>Tobi Rosenkranz</v>
      </c>
      <c r="AM29" s="1">
        <v>25</v>
      </c>
      <c r="AN29" s="4">
        <v>4.9212962962962965E-2</v>
      </c>
      <c r="AO29" s="1">
        <v>6</v>
      </c>
      <c r="AP29" s="1">
        <v>6</v>
      </c>
      <c r="AQ29" s="1">
        <v>12</v>
      </c>
      <c r="AS29" s="1" t="str" cm="1">
        <f t="array" ref="AS2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9" s="1" t="str" cm="1">
        <f t="array" ref="BA29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0" spans="1:53" x14ac:dyDescent="0.2">
      <c r="A30" s="1" cm="1">
        <f t="array" ref="A3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27</v>
      </c>
      <c r="B30" s="8" t="str">
        <v>Richard Turner</v>
      </c>
      <c r="C30" s="1">
        <v>61</v>
      </c>
      <c r="E30" s="1" cm="1">
        <f t="array" ref="E3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27</v>
      </c>
      <c r="F30" t="str">
        <v>Richard Turner</v>
      </c>
      <c r="G30" s="1">
        <v>22</v>
      </c>
      <c r="H30" s="4">
        <v>2.5509259259259259E-2</v>
      </c>
      <c r="I30" s="1">
        <v>9</v>
      </c>
      <c r="J30" s="1">
        <v>6</v>
      </c>
      <c r="K30" s="1">
        <v>15</v>
      </c>
      <c r="M30" s="1" cm="1">
        <f t="array" ref="M3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27</v>
      </c>
      <c r="N30" t="str">
        <v>Conor Walsh</v>
      </c>
      <c r="O30" s="1">
        <v>27</v>
      </c>
      <c r="P30" s="4">
        <v>2.4537037037037038E-2</v>
      </c>
      <c r="Q30" s="1">
        <v>4</v>
      </c>
      <c r="R30" s="1">
        <v>0</v>
      </c>
      <c r="S30" s="1">
        <v>4</v>
      </c>
      <c r="U30" s="1" cm="1">
        <f t="array" ref="U3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27</v>
      </c>
      <c r="V30" t="str">
        <v>Richard Turner</v>
      </c>
      <c r="W30" s="1">
        <v>26</v>
      </c>
      <c r="X30" s="4">
        <v>3.8819444444444441E-2</v>
      </c>
      <c r="Y30" s="1">
        <v>5</v>
      </c>
      <c r="Z30" s="1">
        <v>6</v>
      </c>
      <c r="AA30" s="1">
        <v>11</v>
      </c>
      <c r="AC30" s="1" cm="1">
        <f t="array" ref="AC3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27</v>
      </c>
      <c r="AD30" t="str">
        <v>Marcus Jones</v>
      </c>
      <c r="AE30" s="1">
        <v>27</v>
      </c>
      <c r="AF30" s="4">
        <v>2.6655092592592591E-2</v>
      </c>
      <c r="AG30" s="1">
        <v>4</v>
      </c>
      <c r="AH30" s="1">
        <v>6</v>
      </c>
      <c r="AI30" s="1">
        <v>10</v>
      </c>
      <c r="AK30" s="1" cm="1">
        <f t="array" ref="AK3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27</v>
      </c>
      <c r="AL30" t="str">
        <v>Richard Turner</v>
      </c>
      <c r="AM30" s="1">
        <v>26</v>
      </c>
      <c r="AN30" s="4">
        <v>4.9212962962962965E-2</v>
      </c>
      <c r="AO30" s="1">
        <v>5</v>
      </c>
      <c r="AP30" s="1">
        <v>6</v>
      </c>
      <c r="AQ30" s="1">
        <v>11</v>
      </c>
      <c r="AS30" s="1" t="str" cm="1">
        <f t="array" ref="AS3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0" s="1" t="str" cm="1">
        <f t="array" ref="BA30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1" spans="1:53" x14ac:dyDescent="0.2">
      <c r="A31" s="1" t="str" cm="1">
        <f t="array" ref="A3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1" s="1" t="str" cm="1">
        <f t="array" ref="E3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1" s="1" t="str" cm="1">
        <f t="array" ref="M3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1" s="1" t="str" cm="1">
        <f t="array" ref="U3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1" s="1" t="str" cm="1">
        <f t="array" ref="AC3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1" s="1" t="str" cm="1">
        <f t="array" ref="AK3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31" s="1" t="str" cm="1">
        <f t="array" ref="AS3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1" s="1" t="str" cm="1">
        <f t="array" ref="BA31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2" spans="1:53" x14ac:dyDescent="0.2">
      <c r="A32" s="1" t="str" cm="1">
        <f t="array" ref="A3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2" s="1" t="str" cm="1">
        <f t="array" ref="E3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2" s="1" t="str" cm="1">
        <f t="array" ref="M3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2" s="1" t="str" cm="1">
        <f t="array" ref="U3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2" s="1" t="str" cm="1">
        <f t="array" ref="AC3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2" s="1" t="str" cm="1">
        <f t="array" ref="AK3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32" s="1" t="str" cm="1">
        <f t="array" ref="AS3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2" s="1" t="str" cm="1">
        <f t="array" ref="BA32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3" spans="1:53" x14ac:dyDescent="0.2">
      <c r="A33" s="1" t="str" cm="1">
        <f t="array" ref="A3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3" s="1" t="str" cm="1">
        <f t="array" ref="E3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3" s="1" t="str" cm="1">
        <f t="array" ref="M3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3" s="1" t="str" cm="1">
        <f t="array" ref="U3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3" s="1" t="str" cm="1">
        <f t="array" ref="AC3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3" s="1" t="str" cm="1">
        <f t="array" ref="AK3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33" s="1" t="str" cm="1">
        <f t="array" ref="AS3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3" s="1" t="str" cm="1">
        <f t="array" ref="BA33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4" spans="1:53" x14ac:dyDescent="0.2">
      <c r="A34" s="1" t="str" cm="1">
        <f t="array" ref="A3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4" s="1" t="str" cm="1">
        <f t="array" ref="E3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4" s="1" t="str" cm="1">
        <f t="array" ref="M3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4" s="1" t="str" cm="1">
        <f t="array" ref="U3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4" s="1" t="str" cm="1">
        <f t="array" ref="AC3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4" s="1" t="str" cm="1">
        <f t="array" ref="AK3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34" s="1" t="str" cm="1">
        <f t="array" ref="AS3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4" s="1" t="str" cm="1">
        <f t="array" ref="BA3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5" spans="1:53" x14ac:dyDescent="0.2">
      <c r="A35" s="1" t="str" cm="1">
        <f t="array" ref="A3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5" s="1" t="str" cm="1">
        <f t="array" ref="E3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5" s="1" t="str" cm="1">
        <f t="array" ref="M3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5" s="1" t="str" cm="1">
        <f t="array" ref="U3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5" s="1" t="str" cm="1">
        <f t="array" ref="AC3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5" s="1" t="str" cm="1">
        <f t="array" ref="AK3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35" s="1" t="str" cm="1">
        <f t="array" ref="AS3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5" s="1" t="str" cm="1">
        <f t="array" ref="BA3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6" spans="1:53" x14ac:dyDescent="0.2">
      <c r="A36" s="1" t="str" cm="1">
        <f t="array" ref="A3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6" s="1" t="str" cm="1">
        <f t="array" ref="E3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6" s="1" t="str" cm="1">
        <f t="array" ref="M3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6" s="1" t="str" cm="1">
        <f t="array" ref="U3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6" s="1" t="str" cm="1">
        <f t="array" ref="AC3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6" s="1" t="str" cm="1">
        <f t="array" ref="AK3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36" s="1" t="str" cm="1">
        <f t="array" ref="AS3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6" s="1" t="str" cm="1">
        <f t="array" ref="BA36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7" spans="1:53" x14ac:dyDescent="0.2">
      <c r="A37" s="1" t="str" cm="1">
        <f t="array" ref="A3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7" s="1" t="str" cm="1">
        <f t="array" ref="E3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7" s="1" t="str" cm="1">
        <f t="array" ref="M3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7" s="1" t="str" cm="1">
        <f t="array" ref="U3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7" s="1" t="str" cm="1">
        <f t="array" ref="AC3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7" s="1" t="str" cm="1">
        <f t="array" ref="AK3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37" s="1" t="str" cm="1">
        <f t="array" ref="AS3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7" s="1" t="str" cm="1">
        <f t="array" ref="BA37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8" spans="1:53" x14ac:dyDescent="0.2">
      <c r="A38" s="1" t="str" cm="1">
        <f t="array" ref="A3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8" s="1" t="str" cm="1">
        <f t="array" ref="E3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8" s="1" t="str" cm="1">
        <f t="array" ref="M3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8" s="1" t="str" cm="1">
        <f t="array" ref="U3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8" s="1" t="str" cm="1">
        <f t="array" ref="AC3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8" s="1" t="str" cm="1">
        <f t="array" ref="AK3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38" s="1" t="str" cm="1">
        <f t="array" ref="AS3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8" s="1" t="str" cm="1">
        <f t="array" ref="BA38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9" spans="1:53" x14ac:dyDescent="0.2">
      <c r="A39" s="1" t="str" cm="1">
        <f t="array" ref="A3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9" s="1" t="str" cm="1">
        <f t="array" ref="E3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9" s="1" t="str" cm="1">
        <f t="array" ref="M3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9" s="1" t="str" cm="1">
        <f t="array" ref="U3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9" s="1" t="str" cm="1">
        <f t="array" ref="AC3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9" s="1" t="str" cm="1">
        <f t="array" ref="AK3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39" s="1" t="str" cm="1">
        <f t="array" ref="AS3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9" s="1" t="str" cm="1">
        <f t="array" ref="BA39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0" spans="1:53" x14ac:dyDescent="0.2">
      <c r="A40" s="1" t="str" cm="1">
        <f t="array" ref="A4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0" s="1" t="str" cm="1">
        <f t="array" ref="E4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0" s="1" t="str" cm="1">
        <f t="array" ref="M4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0" s="1" t="str" cm="1">
        <f t="array" ref="U4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0" s="1" t="str" cm="1">
        <f t="array" ref="AC4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0" s="1" t="str" cm="1">
        <f t="array" ref="AK4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40" s="1" t="str" cm="1">
        <f t="array" ref="AS4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0" s="1" t="str" cm="1">
        <f t="array" ref="BA40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1" spans="1:53" x14ac:dyDescent="0.2">
      <c r="A41" s="1" t="str" cm="1">
        <f t="array" ref="A4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1" s="1" t="str" cm="1">
        <f t="array" ref="E4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1" s="1" t="str" cm="1">
        <f t="array" ref="M4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1" s="1" t="str" cm="1">
        <f t="array" ref="U4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1" s="1" t="str" cm="1">
        <f t="array" ref="AC4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1" s="1" t="str" cm="1">
        <f t="array" ref="AK4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41" s="1" t="str" cm="1">
        <f t="array" ref="AS4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1" s="1" t="str" cm="1">
        <f t="array" ref="BA41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2" spans="1:53" x14ac:dyDescent="0.2">
      <c r="A42" s="1" t="str" cm="1">
        <f t="array" ref="A4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2" s="1" t="str" cm="1">
        <f t="array" ref="E4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2" s="1" t="str" cm="1">
        <f t="array" ref="M4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2" s="1" t="str" cm="1">
        <f t="array" ref="U4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2" s="1" t="str" cm="1">
        <f t="array" ref="AC4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2" s="1" t="str" cm="1">
        <f t="array" ref="AK4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42" s="1" t="str" cm="1">
        <f t="array" ref="AS4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2" s="1" t="str" cm="1">
        <f t="array" ref="BA42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3" spans="1:53" x14ac:dyDescent="0.2">
      <c r="A43" s="1" t="str" cm="1">
        <f t="array" ref="A4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3" s="1" t="str" cm="1">
        <f t="array" ref="E4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3" s="1" t="str" cm="1">
        <f t="array" ref="M4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3" s="1" t="str" cm="1">
        <f t="array" ref="U4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3" s="1" t="str" cm="1">
        <f t="array" ref="AC4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3" s="1" t="str" cm="1">
        <f t="array" ref="AK4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43" s="1" t="str" cm="1">
        <f t="array" ref="AS4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3" s="1" t="str" cm="1">
        <f t="array" ref="BA43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4" spans="1:53" x14ac:dyDescent="0.2">
      <c r="A44" s="1" t="str" cm="1">
        <f t="array" ref="A4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4" s="1" t="str" cm="1">
        <f t="array" ref="E4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4" s="1" t="str" cm="1">
        <f t="array" ref="M4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4" s="1" t="str" cm="1">
        <f t="array" ref="U4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4" s="1" t="str" cm="1">
        <f t="array" ref="AC4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4" s="1" t="str" cm="1">
        <f t="array" ref="AK4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44" s="1" t="str" cm="1">
        <f t="array" ref="AS4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4" s="1" t="str" cm="1">
        <f t="array" ref="BA4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5" spans="1:53" x14ac:dyDescent="0.2">
      <c r="A45" s="1" t="str" cm="1">
        <f t="array" ref="A4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5" s="1" t="str" cm="1">
        <f t="array" ref="E4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5" s="1" t="str" cm="1">
        <f t="array" ref="M4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5" s="1" t="str" cm="1">
        <f t="array" ref="U4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5" s="1" t="str" cm="1">
        <f t="array" ref="AC4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5" s="1" t="str" cm="1">
        <f t="array" ref="AK4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45" s="1" t="str" cm="1">
        <f t="array" ref="AS4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5" s="1" t="str" cm="1">
        <f t="array" ref="BA4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6" spans="1:53" x14ac:dyDescent="0.2">
      <c r="A46" s="1" t="str" cm="1">
        <f t="array" ref="A4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6" s="1" t="str" cm="1">
        <f t="array" ref="E4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6" s="1" t="str" cm="1">
        <f t="array" ref="M4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6" s="1" t="str" cm="1">
        <f t="array" ref="U4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6" s="1" t="str" cm="1">
        <f t="array" ref="AC4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6" s="1" t="str" cm="1">
        <f t="array" ref="AK4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46" s="1" t="str" cm="1">
        <f t="array" ref="AS4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6" s="1" t="str" cm="1">
        <f t="array" ref="BA46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7" spans="1:53" x14ac:dyDescent="0.2">
      <c r="A47" s="1" t="str" cm="1">
        <f t="array" ref="A4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7" s="1" t="str" cm="1">
        <f t="array" ref="E4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7" s="1" t="str" cm="1">
        <f t="array" ref="M4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7" s="1" t="str" cm="1">
        <f t="array" ref="U4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7" s="1" t="str" cm="1">
        <f t="array" ref="AC4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7" s="1" t="str" cm="1">
        <f t="array" ref="AK4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47" s="1" t="str" cm="1">
        <f t="array" ref="AS4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7" s="1" t="str" cm="1">
        <f t="array" ref="BA47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8" spans="1:53" x14ac:dyDescent="0.2">
      <c r="A48" s="1" t="str" cm="1">
        <f t="array" ref="A4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8" s="1" t="str" cm="1">
        <f t="array" ref="E4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8" s="1" t="str" cm="1">
        <f t="array" ref="M4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8" s="1" t="str" cm="1">
        <f t="array" ref="U4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8" s="1" t="str" cm="1">
        <f t="array" ref="AC4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8" s="1" t="str" cm="1">
        <f t="array" ref="AK4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48" s="1" t="str" cm="1">
        <f t="array" ref="AS4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8" s="1" t="str" cm="1">
        <f t="array" ref="BA48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9" spans="1:53" x14ac:dyDescent="0.2">
      <c r="A49" s="1" t="str" cm="1">
        <f t="array" ref="A4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9" s="1" t="str" cm="1">
        <f t="array" ref="E4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9" s="1" t="str" cm="1">
        <f t="array" ref="M4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9" s="1" t="str" cm="1">
        <f t="array" ref="U4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9" s="1" t="str" cm="1">
        <f t="array" ref="AC4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9" s="1" t="str" cm="1">
        <f t="array" ref="AK4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49" s="1" t="str" cm="1">
        <f t="array" ref="AS4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9" s="1" t="str" cm="1">
        <f t="array" ref="BA49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0" spans="1:53" x14ac:dyDescent="0.2">
      <c r="A50" s="1" t="str" cm="1">
        <f t="array" ref="A5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0" s="1" t="str" cm="1">
        <f t="array" ref="E5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0" s="1" t="str" cm="1">
        <f t="array" ref="M5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0" s="1" t="str" cm="1">
        <f t="array" ref="U5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0" s="1" t="str" cm="1">
        <f t="array" ref="AC5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0" s="1" t="str" cm="1">
        <f t="array" ref="AK5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50" s="1" t="str" cm="1">
        <f t="array" ref="AS5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0" s="1" t="str" cm="1">
        <f t="array" ref="BA50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1" spans="1:53" x14ac:dyDescent="0.2">
      <c r="A51" s="1" t="str" cm="1">
        <f t="array" ref="A5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1" s="1" t="str" cm="1">
        <f t="array" ref="E5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1" s="1" t="str" cm="1">
        <f t="array" ref="M5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1" s="1" t="str" cm="1">
        <f t="array" ref="U5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1" s="1" t="str" cm="1">
        <f t="array" ref="AC5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1" s="1" t="str" cm="1">
        <f t="array" ref="AK5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51" s="1" t="str" cm="1">
        <f t="array" ref="AS5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1" s="1" t="str" cm="1">
        <f t="array" ref="BA51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2" spans="1:53" x14ac:dyDescent="0.2">
      <c r="A52" s="1" t="str" cm="1">
        <f t="array" ref="A5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2" s="1" t="str" cm="1">
        <f t="array" ref="E5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2" s="1" t="str" cm="1">
        <f t="array" ref="M5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2" s="1" t="str" cm="1">
        <f t="array" ref="U5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2" s="1" t="str" cm="1">
        <f t="array" ref="AC5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2" s="1" t="str" cm="1">
        <f t="array" ref="AK5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52" s="1" t="str" cm="1">
        <f t="array" ref="AS5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2" s="1" t="str" cm="1">
        <f t="array" ref="BA52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3" spans="1:53" x14ac:dyDescent="0.2">
      <c r="A53" s="1" t="str" cm="1">
        <f t="array" ref="A5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3" s="1" t="str" cm="1">
        <f t="array" ref="E5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3" s="1" t="str" cm="1">
        <f t="array" ref="M5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3" s="1" t="str" cm="1">
        <f t="array" ref="U5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3" s="1" t="str" cm="1">
        <f t="array" ref="AC5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3" s="1" t="str" cm="1">
        <f t="array" ref="AK5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53" s="1" t="str" cm="1">
        <f t="array" ref="AS5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3" s="1" t="str" cm="1">
        <f t="array" ref="BA53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4" spans="1:53" x14ac:dyDescent="0.2">
      <c r="E54" s="1" t="str" cm="1">
        <f t="array" ref="E5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4" s="1" t="str" cm="1">
        <f t="array" ref="M5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4" s="1" t="str" cm="1">
        <f t="array" ref="U5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4" s="1" t="str" cm="1">
        <f t="array" ref="AC5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4" s="1" t="str" cm="1">
        <f t="array" ref="AK5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54" s="1" t="str" cm="1">
        <f t="array" ref="AS5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4" s="1" t="str" cm="1">
        <f t="array" ref="BA5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5" spans="1:53" x14ac:dyDescent="0.2">
      <c r="M55" s="1" t="str" cm="1">
        <f t="array" ref="M5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5" s="1" t="str" cm="1">
        <f t="array" ref="U5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5" s="1" t="str" cm="1">
        <f t="array" ref="AC5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5" s="1" t="str" cm="1">
        <f t="array" ref="AK5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</row>
    <row r="56" spans="1:53" x14ac:dyDescent="0.2">
      <c r="U56" s="1" t="str" cm="1">
        <f t="array" ref="U5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6" s="1" t="str" cm="1">
        <f t="array" ref="AC5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6" s="1" t="str" cm="1">
        <f t="array" ref="AK5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</row>
  </sheetData>
  <sheetProtection sheet="1" objects="1" scenarios="1"/>
  <mergeCells count="8">
    <mergeCell ref="BA1:BG1"/>
    <mergeCell ref="A1:C1"/>
    <mergeCell ref="E1:K1"/>
    <mergeCell ref="M1:S1"/>
    <mergeCell ref="U1:AA1"/>
    <mergeCell ref="AC1:AI1"/>
    <mergeCell ref="AS1:AY1"/>
    <mergeCell ref="AK1:AQ1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FEC4-33D2-694B-93B3-A83AA3D99FD2}">
  <dimension ref="A1:BG55"/>
  <sheetViews>
    <sheetView topLeftCell="Z1" workbookViewId="0">
      <selection activeCell="AS13" sqref="AS13"/>
    </sheetView>
  </sheetViews>
  <sheetFormatPr baseColWidth="10" defaultRowHeight="15" x14ac:dyDescent="0.2"/>
  <cols>
    <col min="1" max="1" width="8.83203125" style="1" customWidth="1"/>
    <col min="2" max="2" width="16.6640625" style="8" bestFit="1" customWidth="1"/>
    <col min="3" max="3" width="10.83203125" style="1"/>
    <col min="4" max="4" width="6.6640625" customWidth="1"/>
    <col min="5" max="5" width="10.83203125" style="1"/>
    <col min="6" max="6" width="18.33203125" customWidth="1"/>
    <col min="7" max="7" width="6" style="1" customWidth="1"/>
    <col min="8" max="8" width="10.83203125" style="4"/>
    <col min="9" max="11" width="10" style="1" customWidth="1"/>
    <col min="12" max="12" width="6.6640625" customWidth="1"/>
    <col min="13" max="13" width="10.83203125" style="1"/>
    <col min="14" max="14" width="18.33203125" customWidth="1"/>
    <col min="15" max="15" width="6" style="1" customWidth="1"/>
    <col min="16" max="16" width="10.83203125" style="4"/>
    <col min="17" max="19" width="10" style="1" customWidth="1"/>
    <col min="20" max="20" width="6.6640625" customWidth="1"/>
    <col min="21" max="21" width="10.83203125" style="1"/>
    <col min="22" max="22" width="18.33203125" customWidth="1"/>
    <col min="23" max="23" width="6" style="1" customWidth="1"/>
    <col min="24" max="24" width="10.83203125" style="4"/>
    <col min="25" max="27" width="10" style="1" customWidth="1"/>
    <col min="28" max="28" width="6.6640625" customWidth="1"/>
    <col min="29" max="29" width="10.83203125" style="1"/>
    <col min="30" max="30" width="18.33203125" customWidth="1"/>
    <col min="31" max="31" width="6" style="1" customWidth="1"/>
    <col min="32" max="32" width="10.83203125" style="4"/>
    <col min="33" max="35" width="10" style="1" customWidth="1"/>
    <col min="36" max="36" width="6.6640625" customWidth="1"/>
    <col min="37" max="37" width="10.83203125" style="1"/>
    <col min="38" max="38" width="18.33203125" customWidth="1"/>
    <col min="39" max="39" width="6" style="1" customWidth="1"/>
    <col min="40" max="40" width="10.83203125" style="4"/>
    <col min="41" max="43" width="10" style="1" customWidth="1"/>
    <col min="44" max="44" width="6.6640625" customWidth="1"/>
    <col min="45" max="45" width="10.83203125" style="1"/>
    <col min="46" max="46" width="18.33203125" customWidth="1"/>
    <col min="47" max="47" width="6" style="1" customWidth="1"/>
    <col min="48" max="48" width="10.83203125" style="4"/>
    <col min="49" max="51" width="10" style="1" customWidth="1"/>
    <col min="52" max="52" width="6.6640625" customWidth="1"/>
    <col min="53" max="53" width="10.83203125" style="1"/>
    <col min="54" max="54" width="18.33203125" customWidth="1"/>
    <col min="55" max="55" width="6" style="1" customWidth="1"/>
    <col min="56" max="56" width="10.83203125" style="4"/>
    <col min="57" max="59" width="10" style="1" customWidth="1"/>
  </cols>
  <sheetData>
    <row r="1" spans="1:59" ht="20" thickBot="1" x14ac:dyDescent="0.3">
      <c r="A1" s="22" t="s">
        <v>43</v>
      </c>
      <c r="B1" s="22"/>
      <c r="C1" s="22"/>
      <c r="E1" s="22" t="s">
        <v>18</v>
      </c>
      <c r="F1" s="22"/>
      <c r="G1" s="22"/>
      <c r="H1" s="22"/>
      <c r="I1" s="22"/>
      <c r="J1" s="22"/>
      <c r="K1" s="22"/>
      <c r="M1" s="22" t="s">
        <v>19</v>
      </c>
      <c r="N1" s="22"/>
      <c r="O1" s="22"/>
      <c r="P1" s="22"/>
      <c r="Q1" s="22"/>
      <c r="R1" s="22"/>
      <c r="S1" s="22"/>
      <c r="U1" s="22" t="s">
        <v>110</v>
      </c>
      <c r="V1" s="22"/>
      <c r="W1" s="22"/>
      <c r="X1" s="22"/>
      <c r="Y1" s="22"/>
      <c r="Z1" s="22"/>
      <c r="AA1" s="22"/>
      <c r="AC1" s="22" t="s">
        <v>111</v>
      </c>
      <c r="AD1" s="22"/>
      <c r="AE1" s="22"/>
      <c r="AF1" s="22"/>
      <c r="AG1" s="22"/>
      <c r="AH1" s="22"/>
      <c r="AI1" s="22"/>
      <c r="AK1" s="22" t="s">
        <v>20</v>
      </c>
      <c r="AL1" s="22"/>
      <c r="AM1" s="22"/>
      <c r="AN1" s="22"/>
      <c r="AO1" s="22"/>
      <c r="AP1" s="22"/>
      <c r="AQ1" s="22"/>
      <c r="AS1" s="22" t="s">
        <v>21</v>
      </c>
      <c r="AT1" s="22"/>
      <c r="AU1" s="22"/>
      <c r="AV1" s="22"/>
      <c r="AW1" s="22"/>
      <c r="AX1" s="22"/>
      <c r="AY1" s="22"/>
      <c r="BA1" s="22" t="s">
        <v>22</v>
      </c>
      <c r="BB1" s="22"/>
      <c r="BC1" s="22"/>
      <c r="BD1" s="22"/>
      <c r="BE1" s="22"/>
      <c r="BF1" s="22"/>
      <c r="BG1" s="22"/>
    </row>
    <row r="2" spans="1:59" s="3" customFormat="1" x14ac:dyDescent="0.2">
      <c r="A2" s="3" t="s">
        <v>23</v>
      </c>
      <c r="B2" s="3" t="s">
        <v>24</v>
      </c>
      <c r="C2" s="3" t="s">
        <v>27</v>
      </c>
      <c r="E2" s="3" t="s">
        <v>44</v>
      </c>
      <c r="F2" s="3" t="s">
        <v>24</v>
      </c>
      <c r="G2" s="3" t="s">
        <v>45</v>
      </c>
      <c r="H2" s="9" t="s">
        <v>25</v>
      </c>
      <c r="I2" s="3" t="s">
        <v>46</v>
      </c>
      <c r="J2" s="3" t="s">
        <v>33</v>
      </c>
      <c r="K2" s="3" t="s">
        <v>26</v>
      </c>
      <c r="M2" s="3" t="s">
        <v>44</v>
      </c>
      <c r="N2" s="3" t="s">
        <v>24</v>
      </c>
      <c r="O2" s="3" t="s">
        <v>45</v>
      </c>
      <c r="P2" s="9" t="s">
        <v>25</v>
      </c>
      <c r="Q2" s="3" t="s">
        <v>46</v>
      </c>
      <c r="R2" s="3" t="s">
        <v>33</v>
      </c>
      <c r="S2" s="3" t="s">
        <v>26</v>
      </c>
      <c r="U2" s="3" t="s">
        <v>44</v>
      </c>
      <c r="V2" s="3" t="s">
        <v>24</v>
      </c>
      <c r="W2" s="3" t="s">
        <v>45</v>
      </c>
      <c r="X2" s="9" t="s">
        <v>25</v>
      </c>
      <c r="Y2" s="3" t="s">
        <v>46</v>
      </c>
      <c r="Z2" s="3" t="s">
        <v>33</v>
      </c>
      <c r="AA2" s="3" t="s">
        <v>26</v>
      </c>
      <c r="AC2" s="3" t="s">
        <v>44</v>
      </c>
      <c r="AD2" s="3" t="s">
        <v>24</v>
      </c>
      <c r="AE2" s="3" t="s">
        <v>45</v>
      </c>
      <c r="AF2" s="9" t="s">
        <v>25</v>
      </c>
      <c r="AG2" s="3" t="s">
        <v>46</v>
      </c>
      <c r="AH2" s="3" t="s">
        <v>33</v>
      </c>
      <c r="AI2" s="3" t="s">
        <v>26</v>
      </c>
      <c r="AK2" s="3" t="s">
        <v>44</v>
      </c>
      <c r="AL2" s="3" t="s">
        <v>24</v>
      </c>
      <c r="AM2" s="3" t="s">
        <v>45</v>
      </c>
      <c r="AN2" s="9" t="s">
        <v>25</v>
      </c>
      <c r="AO2" s="3" t="s">
        <v>46</v>
      </c>
      <c r="AP2" s="3" t="s">
        <v>33</v>
      </c>
      <c r="AQ2" s="3" t="s">
        <v>26</v>
      </c>
      <c r="AS2" s="3" t="s">
        <v>44</v>
      </c>
      <c r="AT2" s="3" t="s">
        <v>24</v>
      </c>
      <c r="AU2" s="3" t="s">
        <v>45</v>
      </c>
      <c r="AV2" s="9" t="s">
        <v>25</v>
      </c>
      <c r="AW2" s="3" t="s">
        <v>46</v>
      </c>
      <c r="AX2" s="3" t="s">
        <v>33</v>
      </c>
      <c r="AY2" s="3" t="s">
        <v>26</v>
      </c>
      <c r="BA2" s="3" t="s">
        <v>44</v>
      </c>
      <c r="BB2" s="3" t="s">
        <v>24</v>
      </c>
      <c r="BC2" s="3" t="s">
        <v>45</v>
      </c>
      <c r="BD2" s="9" t="s">
        <v>25</v>
      </c>
      <c r="BE2" s="3" t="s">
        <v>46</v>
      </c>
      <c r="BF2" s="3" t="s">
        <v>33</v>
      </c>
      <c r="BG2" s="3" t="s">
        <v>26</v>
      </c>
    </row>
    <row r="3" spans="1:59" s="3" customFormat="1" ht="7" customHeight="1" x14ac:dyDescent="0.2">
      <c r="B3" s="7"/>
      <c r="H3" s="9"/>
      <c r="P3" s="9"/>
      <c r="X3" s="9"/>
      <c r="AF3" s="9"/>
      <c r="AN3" s="9"/>
      <c r="AV3" s="9"/>
      <c r="BD3" s="9"/>
    </row>
    <row r="4" spans="1:59" x14ac:dyDescent="0.2">
      <c r="A4" s="1" cm="1">
        <f t="array" ref="A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</v>
      </c>
      <c r="B4" s="8" t="str" cm="1">
        <f t="array" ref="B4:C43">_xlfn.LET(
  _xlpm.names,'Stage Data - B'!$A$5:$A$48,
  _xlpm.total,'Stage Data - B'!$AU$5:$AU$48,
  _xlpm.data,_xlfn._xlws.FILTER(CHOOSE({1,2},_xlpm.names,_xlpm.total),_xlpm.names&lt;&gt;""),
  _xlfn.SORTBY(_xlpm.data,INDEX(_xlpm.data,,2),-1,INDEX(_xlpm.data,,1),1)
)</f>
        <v>Russell Beard</v>
      </c>
      <c r="C4" s="1">
        <v>200</v>
      </c>
      <c r="E4" s="1" cm="1">
        <f t="array" ref="E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</v>
      </c>
      <c r="F4" t="str" cm="1">
        <f t="array" ref="F4:K43">_xlfn.LET(
  _xlpm.names,'Stage Data - B'!$A$5:$A$48,
  _xlpm.stpos,'Stage Data - B'!D$5:D$48,
  _xlpm.time,'Stage Data - B'!E$5:E$48,
  _xlpm.base,'Stage Data - B'!F$5:F$48,
  _xlpm.hdcp,'Stage Data - B'!G$5:G$48,
  _xlpm.adj,'Stage Data - B'!H$5:H$48,
  _xlpm.data,_xlfn._xlws.FILTER(CHOOSE({1,2,3,4,5,6},_xlpm.names,_xlpm.stpos,_xlpm.time,_xlpm.base,_xlpm.hdcp,_xlpm.adj), _xlpm.adj&lt;&gt;""),
  _xlfn.SORTBY(_xlpm.data, INDEX(_xlpm.data,,6), -1, INDEX(_xlpm.data,,1), 1)
)</f>
        <v xml:space="preserve">David Willis </v>
      </c>
      <c r="G4" s="1">
        <v>1</v>
      </c>
      <c r="H4" s="4">
        <v>2.5000000000000001E-2</v>
      </c>
      <c r="I4" s="1">
        <v>40</v>
      </c>
      <c r="J4" s="1">
        <v>0</v>
      </c>
      <c r="K4" s="1">
        <v>40</v>
      </c>
      <c r="M4" s="1" cm="1">
        <f t="array" ref="M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</v>
      </c>
      <c r="N4" t="str" cm="1">
        <f t="array" ref="N4:S43">_xlfn.LET(
  _xlpm.names,'Stage Data - B'!$A$5:$A$48,
  _xlpm.stpos,'Stage Data - B'!J$5:J$48,
  _xlpm.time,'Stage Data - B'!K$5:K$48,
  _xlpm.base,'Stage Data - B'!L$5:L$48,
  _xlpm.hdcp,'Stage Data - B'!M$5:M$48,
  _xlpm.adj,'Stage Data - B'!N$5:N$48,
  _xlpm.data,_xlfn._xlws.FILTER(CHOOSE({1,2,3,4,5,6},_xlpm.names,_xlpm.stpos,_xlpm.time,_xlpm.base,_xlpm.hdcp,_xlpm.adj), _xlpm.adj&lt;&gt;""),
  _xlfn.SORTBY(_xlpm.data, INDEX(_xlpm.data,,6), -1, INDEX(_xlpm.data,,1), 1)
)</f>
        <v>Rich Southcott</v>
      </c>
      <c r="O4" s="1">
        <v>1</v>
      </c>
      <c r="P4" s="4">
        <v>2.1006944444444446E-2</v>
      </c>
      <c r="Q4" s="1">
        <v>40</v>
      </c>
      <c r="R4" s="1">
        <v>0</v>
      </c>
      <c r="S4" s="1">
        <v>40</v>
      </c>
      <c r="U4" s="1" cm="1">
        <f t="array" ref="U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</v>
      </c>
      <c r="V4" t="str" cm="1">
        <f t="array" ref="V4:AA43">_xlfn.LET(
  _xlpm.names,'Stage Data - B'!$A$5:$A$50,
  _xlpm.stpos,'Stage Data - B'!P$5:P$50,
  _xlpm.time,'Stage Data - B'!Q$5:Q$50,
  _xlpm.base,'Stage Data - B'!R$5:R$50,
  _xlpm.hdcp,'Stage Data - B'!S$5:S$50,
  _xlpm.adj,'Stage Data - B'!T$5:T$50,
  _xlpm.data,_xlfn._xlws.FILTER(CHOOSE({1,2,3,4,5,6},_xlpm.names,_xlpm.stpos,_xlpm.time,_xlpm.base,_xlpm.hdcp,_xlpm.adj), _xlpm.adj&lt;&gt;""),
  _xlfn.SORTBY(_xlpm.data, INDEX(_xlpm.data,,6), -1, INDEX(_xlpm.data,,1), 1)
)</f>
        <v>James Turner</v>
      </c>
      <c r="W4" s="1">
        <v>13</v>
      </c>
      <c r="X4" s="4">
        <v>3.6979166666666667E-2</v>
      </c>
      <c r="Y4" s="1">
        <v>28</v>
      </c>
      <c r="Z4" s="1">
        <v>22</v>
      </c>
      <c r="AA4" s="1">
        <v>40</v>
      </c>
      <c r="AC4" s="1" cm="1">
        <f t="array" ref="AC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</v>
      </c>
      <c r="AD4" t="str" cm="1">
        <f t="array" ref="AD4:AI43">_xlfn.LET(
  _xlpm.names,'Stage Data - B'!$A$5:$A$50,
  _xlpm.stpos,'Stage Data - B'!V$5:V$50,
  _xlpm.time,'Stage Data - B'!W$5:W$50,
  _xlpm.base,'Stage Data - B'!X$5:X$50,
  _xlpm.hdcp,'Stage Data - B'!Y$5:Y$50,
  _xlpm.adj,'Stage Data - B'!Z$5:Z$50,
  _xlpm.data,_xlfn._xlws.FILTER(CHOOSE({1,2,3,4,5,6},_xlpm.names,_xlpm.stpos,_xlpm.time,_xlpm.base,_xlpm.hdcp,_xlpm.adj), _xlpm.adj&lt;&gt;""),
  _xlfn.SORTBY(_xlpm.data, INDEX(_xlpm.data,,6), -1, INDEX(_xlpm.data,,1), 1)
)</f>
        <v>James Turner</v>
      </c>
      <c r="AE4" s="1">
        <v>23</v>
      </c>
      <c r="AF4" s="4">
        <v>2.5983796296296297E-2</v>
      </c>
      <c r="AG4" s="1">
        <v>18</v>
      </c>
      <c r="AH4" s="1">
        <v>22</v>
      </c>
      <c r="AI4" s="1">
        <v>40</v>
      </c>
      <c r="AK4" s="1" cm="1">
        <f t="array" ref="AK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</v>
      </c>
      <c r="AL4" t="str" cm="1">
        <f t="array" ref="AL4:AQ43">_xlfn.LET(
  _xlpm.names,'Stage Data - B'!$A$5:$A$50,
  _xlpm.stpos,'Stage Data - B'!AB$5:AB$50,
  _xlpm.time,'Stage Data - B'!AC$5:AC$50,
  _xlpm.base,'Stage Data - B'!AD$5:AD$50,
  _xlpm.hdcp,'Stage Data - B'!AE$5:AE$50,
  _xlpm.adj,'Stage Data - B'!AF$5:AF$50,
  _xlpm.data,_xlfn._xlws.FILTER(CHOOSE({1,2,3,4,5,6},_xlpm.names,_xlpm.stpos,_xlpm.time,_xlpm.base,_xlpm.hdcp,_xlpm.adj), _xlpm.adj&lt;&gt;""),
  _xlfn.SORTBY(_xlpm.data, INDEX(_xlpm.data,,6), -1, INDEX(_xlpm.data,,1), 1)
)</f>
        <v>Alessandra Scaduto</v>
      </c>
      <c r="AM4" s="1">
        <v>22</v>
      </c>
      <c r="AN4" s="4">
        <v>5.5243055555555552E-2</v>
      </c>
      <c r="AO4" s="1">
        <v>19</v>
      </c>
      <c r="AP4" s="1">
        <v>22</v>
      </c>
      <c r="AQ4" s="1">
        <v>40</v>
      </c>
      <c r="AS4" s="1" t="e" cm="1">
        <f t="array" ref="AS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>#REF!</v>
      </c>
      <c r="AT4" t="e" cm="1" vm="1">
        <f t="array" ref="AT4">_xlfn.LET(
  _xlpm.names,'Stage Data - B'!$A$5:$A$50,
  _xlpm.stpos,'Stage Data - B'!AH$5:AH$50,
  _xlpm.time,'Stage Data - B'!AI$5:AI$50,
  _xlpm.base,'Stage Data - B'!AJ$5:AJ$50,
  _xlpm.hdcp,'Stage Data - B'!AK$5:AK$50,
  _xlpm.adj,'Stage Data - B'!AL$5:AL$50,
  _xlpm.data,_xlfn._xlws.FILTER(CHOOSE({1,2,3,4,5,6},_xlpm.names,_xlpm.stpos,_xlpm.time,_xlpm.base,_xlpm.hdcp,_xlpm.adj), _xlpm.adj&lt;&gt;""),
  _xlfn.SORTBY(_xlpm.data, INDEX(_xlpm.data,,6), -1, INDEX(_xlpm.data,,1), 1)
)</f>
        <v>#VALUE!</v>
      </c>
      <c r="BA4" s="1" t="e" cm="1">
        <f t="array" ref="BA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>#REF!</v>
      </c>
      <c r="BB4" t="e" cm="1" vm="1">
        <f t="array" ref="BB4">_xlfn.LET(
  _xlpm.names,'Stage Data - B'!$A$5:$A$50,
  _xlpm.stpos,'Stage Data - B'!AN$5:AN$50,
  _xlpm.time,'Stage Data - B'!AO$5:AO$50,
  _xlpm.base,'Stage Data - B'!AP$5:AP$50,
  _xlpm.hdcp,'Stage Data - B'!AQ$5:AQ$50,
  _xlpm.adj,'Stage Data - B'!AR$5:AR$50,
  _xlpm.data,_xlfn._xlws.FILTER(CHOOSE({1,2,3,4,5,6},_xlpm.names,_xlpm.stpos,_xlpm.time,_xlpm.base,_xlpm.hdcp,_xlpm.adj), _xlpm.adj&lt;&gt;""),
  _xlfn.SORTBY(_xlpm.data, INDEX(_xlpm.data,,6), -1, INDEX(_xlpm.data,,1), 1)
)</f>
        <v>#VALUE!</v>
      </c>
    </row>
    <row r="5" spans="1:59" x14ac:dyDescent="0.2">
      <c r="A5" s="1" cm="1">
        <f t="array" ref="A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</v>
      </c>
      <c r="B5" s="8" t="str">
        <v>Rich Southcott</v>
      </c>
      <c r="C5" s="1">
        <v>199</v>
      </c>
      <c r="E5" s="1" cm="1">
        <f t="array" ref="E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</v>
      </c>
      <c r="F5" t="str">
        <v>James Turner</v>
      </c>
      <c r="G5" s="1">
        <v>23</v>
      </c>
      <c r="H5" s="4">
        <v>2.8449074074074075E-2</v>
      </c>
      <c r="I5" s="1">
        <v>18</v>
      </c>
      <c r="J5" s="1">
        <v>22</v>
      </c>
      <c r="K5" s="1">
        <v>40</v>
      </c>
      <c r="M5" s="1" cm="1">
        <f t="array" ref="M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</v>
      </c>
      <c r="N5" t="str">
        <v>Russell Beard</v>
      </c>
      <c r="O5" s="1">
        <v>9</v>
      </c>
      <c r="P5" s="4">
        <v>2.2291666666666668E-2</v>
      </c>
      <c r="Q5" s="1">
        <v>32</v>
      </c>
      <c r="R5" s="1">
        <v>8</v>
      </c>
      <c r="S5" s="1">
        <v>40</v>
      </c>
      <c r="U5" s="1" cm="1">
        <f t="array" ref="U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</v>
      </c>
      <c r="V5" t="str">
        <v>Laura McMullen</v>
      </c>
      <c r="W5" s="1">
        <v>6</v>
      </c>
      <c r="X5" s="4">
        <v>3.5428240740740739E-2</v>
      </c>
      <c r="Y5" s="1">
        <v>35</v>
      </c>
      <c r="Z5" s="1">
        <v>8</v>
      </c>
      <c r="AA5" s="1">
        <v>40</v>
      </c>
      <c r="AC5" s="1" cm="1">
        <f t="array" ref="AC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</v>
      </c>
      <c r="AD5" t="str">
        <v>Luke Fenney</v>
      </c>
      <c r="AE5" s="1">
        <v>17</v>
      </c>
      <c r="AF5" s="4">
        <v>2.4710648148148148E-2</v>
      </c>
      <c r="AG5" s="1">
        <v>24</v>
      </c>
      <c r="AH5" s="1">
        <v>16</v>
      </c>
      <c r="AI5" s="1">
        <v>40</v>
      </c>
      <c r="AK5" s="1" cm="1">
        <f t="array" ref="AK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</v>
      </c>
      <c r="AL5" t="str">
        <v>Alex Joss</v>
      </c>
      <c r="AM5" s="1">
        <v>7</v>
      </c>
      <c r="AN5" s="4">
        <v>4.9444444444444444E-2</v>
      </c>
      <c r="AO5" s="1">
        <v>34</v>
      </c>
      <c r="AP5" s="1">
        <v>8</v>
      </c>
      <c r="AQ5" s="1">
        <v>40</v>
      </c>
      <c r="AS5" s="1" t="str" cm="1">
        <f t="array" ref="AS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" s="1" t="str" cm="1">
        <f t="array" ref="BA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6" spans="1:59" x14ac:dyDescent="0.2">
      <c r="A6" s="1" cm="1">
        <f t="array" ref="A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3</v>
      </c>
      <c r="B6" s="8" t="str">
        <v xml:space="preserve">David Willis </v>
      </c>
      <c r="C6" s="1">
        <v>196</v>
      </c>
      <c r="E6" s="1" cm="1">
        <f t="array" ref="E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</v>
      </c>
      <c r="F6" t="str">
        <v xml:space="preserve">Nick Dumonde </v>
      </c>
      <c r="G6" s="1">
        <v>4</v>
      </c>
      <c r="H6" s="4">
        <v>2.5231481481481483E-2</v>
      </c>
      <c r="I6" s="1">
        <v>37</v>
      </c>
      <c r="J6" s="1">
        <v>8</v>
      </c>
      <c r="K6" s="1">
        <v>40</v>
      </c>
      <c r="M6" s="1" cm="1">
        <f t="array" ref="M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3</v>
      </c>
      <c r="N6" t="str">
        <v xml:space="preserve">David Willis </v>
      </c>
      <c r="O6" s="1">
        <v>2</v>
      </c>
      <c r="P6" s="4">
        <v>2.1099537037037038E-2</v>
      </c>
      <c r="Q6" s="1">
        <v>39</v>
      </c>
      <c r="R6" s="1">
        <v>0</v>
      </c>
      <c r="S6" s="1">
        <v>39</v>
      </c>
      <c r="U6" s="1" cm="1">
        <f t="array" ref="U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</v>
      </c>
      <c r="V6" t="str">
        <v>Rich Southcott</v>
      </c>
      <c r="W6" s="1">
        <v>1</v>
      </c>
      <c r="X6" s="4">
        <v>3.3321759259259259E-2</v>
      </c>
      <c r="Y6" s="1">
        <v>40</v>
      </c>
      <c r="Z6" s="1">
        <v>0</v>
      </c>
      <c r="AA6" s="1">
        <v>40</v>
      </c>
      <c r="AC6" s="1" cm="1">
        <f t="array" ref="AC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</v>
      </c>
      <c r="AD6" t="str">
        <v>Rich Southcott</v>
      </c>
      <c r="AE6" s="1">
        <v>1</v>
      </c>
      <c r="AF6" s="4">
        <v>2.1724537037037039E-2</v>
      </c>
      <c r="AG6" s="1">
        <v>40</v>
      </c>
      <c r="AH6" s="1">
        <v>0</v>
      </c>
      <c r="AI6" s="1">
        <v>40</v>
      </c>
      <c r="AK6" s="1" cm="1">
        <f t="array" ref="AK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</v>
      </c>
      <c r="AL6" t="str">
        <v>James Turner</v>
      </c>
      <c r="AM6" s="1">
        <v>16</v>
      </c>
      <c r="AN6" s="4">
        <v>5.2349537037037035E-2</v>
      </c>
      <c r="AO6" s="1">
        <v>25</v>
      </c>
      <c r="AP6" s="1">
        <v>22</v>
      </c>
      <c r="AQ6" s="1">
        <v>40</v>
      </c>
      <c r="AS6" s="1" t="str" cm="1">
        <f t="array" ref="AS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6" s="1" t="str" cm="1">
        <f t="array" ref="BA6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7" spans="1:59" x14ac:dyDescent="0.2">
      <c r="A7" s="1" cm="1">
        <f t="array" ref="A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4</v>
      </c>
      <c r="B7" s="8" t="str">
        <v>James Turner</v>
      </c>
      <c r="C7" s="1">
        <v>194</v>
      </c>
      <c r="E7" s="1" cm="1">
        <f t="array" ref="E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</v>
      </c>
      <c r="F7" t="str">
        <v>Russell Beard</v>
      </c>
      <c r="G7" s="1">
        <v>9</v>
      </c>
      <c r="H7" s="4">
        <v>2.6435185185185187E-2</v>
      </c>
      <c r="I7" s="1">
        <v>32</v>
      </c>
      <c r="J7" s="1">
        <v>8</v>
      </c>
      <c r="K7" s="1">
        <v>40</v>
      </c>
      <c r="M7" s="1" cm="1">
        <f t="array" ref="M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4</v>
      </c>
      <c r="N7" t="str">
        <v>David Griffiths</v>
      </c>
      <c r="O7" s="1">
        <v>11</v>
      </c>
      <c r="P7" s="4">
        <v>2.2499999999999999E-2</v>
      </c>
      <c r="Q7" s="1">
        <v>30</v>
      </c>
      <c r="R7" s="1">
        <v>8</v>
      </c>
      <c r="S7" s="1">
        <v>38</v>
      </c>
      <c r="U7" s="1" cm="1">
        <f t="array" ref="U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</v>
      </c>
      <c r="V7" t="str">
        <v>Russell Beard</v>
      </c>
      <c r="W7" s="1">
        <v>8</v>
      </c>
      <c r="X7" s="4">
        <v>3.5960648148148151E-2</v>
      </c>
      <c r="Y7" s="1">
        <v>33</v>
      </c>
      <c r="Z7" s="1">
        <v>8</v>
      </c>
      <c r="AA7" s="1">
        <v>40</v>
      </c>
      <c r="AC7" s="1" cm="1">
        <f t="array" ref="AC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</v>
      </c>
      <c r="AD7" t="str">
        <v>Russell Beard</v>
      </c>
      <c r="AE7" s="1">
        <v>6</v>
      </c>
      <c r="AF7" s="4">
        <v>2.3310185185185184E-2</v>
      </c>
      <c r="AG7" s="1">
        <v>35</v>
      </c>
      <c r="AH7" s="1">
        <v>8</v>
      </c>
      <c r="AI7" s="1">
        <v>40</v>
      </c>
      <c r="AK7" s="1" cm="1">
        <f t="array" ref="AK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</v>
      </c>
      <c r="AL7" t="str">
        <v>Laura McMullen</v>
      </c>
      <c r="AM7" s="1">
        <v>8</v>
      </c>
      <c r="AN7" s="4">
        <v>4.9490740740740738E-2</v>
      </c>
      <c r="AO7" s="1">
        <v>33</v>
      </c>
      <c r="AP7" s="1">
        <v>8</v>
      </c>
      <c r="AQ7" s="1">
        <v>40</v>
      </c>
      <c r="AS7" s="1" t="str" cm="1">
        <f t="array" ref="AS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7" s="1" t="str" cm="1">
        <f t="array" ref="BA7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8" spans="1:59" x14ac:dyDescent="0.2">
      <c r="A8" s="1" cm="1">
        <f t="array" ref="A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5</v>
      </c>
      <c r="B8" s="8" t="str">
        <v>Peter Lyons</v>
      </c>
      <c r="C8" s="1">
        <v>189</v>
      </c>
      <c r="E8" s="1" cm="1">
        <f t="array" ref="E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5</v>
      </c>
      <c r="F8" t="str">
        <v>Laura McMullen</v>
      </c>
      <c r="G8" s="1">
        <v>10</v>
      </c>
      <c r="H8" s="4">
        <v>2.6469907407407407E-2</v>
      </c>
      <c r="I8" s="1">
        <v>31</v>
      </c>
      <c r="J8" s="1">
        <v>8</v>
      </c>
      <c r="K8" s="1">
        <v>39</v>
      </c>
      <c r="M8" s="1" cm="1">
        <f t="array" ref="M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4</v>
      </c>
      <c r="N8" t="str">
        <v>Martyn Hopping</v>
      </c>
      <c r="O8" s="1">
        <v>19</v>
      </c>
      <c r="P8" s="4">
        <v>2.3310185185185184E-2</v>
      </c>
      <c r="Q8" s="1">
        <v>22</v>
      </c>
      <c r="R8" s="1">
        <v>16</v>
      </c>
      <c r="S8" s="1">
        <v>38</v>
      </c>
      <c r="U8" s="1" cm="1">
        <f t="array" ref="U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5</v>
      </c>
      <c r="V8" t="str">
        <v xml:space="preserve">David Willis </v>
      </c>
      <c r="W8" s="1">
        <v>2</v>
      </c>
      <c r="X8" s="4">
        <v>3.4108796296296297E-2</v>
      </c>
      <c r="Y8" s="1">
        <v>39</v>
      </c>
      <c r="Z8" s="1">
        <v>0</v>
      </c>
      <c r="AA8" s="1">
        <v>39</v>
      </c>
      <c r="AC8" s="1" cm="1">
        <f t="array" ref="AC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5</v>
      </c>
      <c r="AD8" t="str">
        <v xml:space="preserve">David Willis </v>
      </c>
      <c r="AE8" s="1">
        <v>2</v>
      </c>
      <c r="AF8" s="4">
        <v>2.1990740740740741E-2</v>
      </c>
      <c r="AG8" s="1">
        <v>39</v>
      </c>
      <c r="AH8" s="1">
        <v>0</v>
      </c>
      <c r="AI8" s="1">
        <v>39</v>
      </c>
      <c r="AK8" s="1" cm="1">
        <f t="array" ref="AK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5</v>
      </c>
      <c r="AL8" t="str">
        <v>Rich Southcott</v>
      </c>
      <c r="AM8" s="1">
        <v>1</v>
      </c>
      <c r="AN8" s="4">
        <v>4.5231481481481484E-2</v>
      </c>
      <c r="AO8" s="1">
        <v>40</v>
      </c>
      <c r="AP8" s="1">
        <v>0</v>
      </c>
      <c r="AQ8" s="1">
        <v>40</v>
      </c>
      <c r="AS8" s="1" t="str" cm="1">
        <f t="array" ref="AS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8" s="1" t="str" cm="1">
        <f t="array" ref="BA8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9" spans="1:59" x14ac:dyDescent="0.2">
      <c r="A9" s="1" cm="1">
        <f t="array" ref="A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6</v>
      </c>
      <c r="B9" s="8" t="str">
        <v>Laura McMullen</v>
      </c>
      <c r="C9" s="1">
        <v>188</v>
      </c>
      <c r="E9" s="1" cm="1">
        <f t="array" ref="E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5</v>
      </c>
      <c r="F9" t="str">
        <v>Rich Southcott</v>
      </c>
      <c r="G9" s="1">
        <v>2</v>
      </c>
      <c r="H9" s="4">
        <v>2.5104166666666667E-2</v>
      </c>
      <c r="I9" s="1">
        <v>39</v>
      </c>
      <c r="J9" s="1">
        <v>0</v>
      </c>
      <c r="K9" s="1">
        <v>39</v>
      </c>
      <c r="M9" s="1" cm="1">
        <f t="array" ref="M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4</v>
      </c>
      <c r="N9" t="str">
        <v>Peter Lyons</v>
      </c>
      <c r="O9" s="1">
        <v>3</v>
      </c>
      <c r="P9" s="4">
        <v>2.1377314814814814E-2</v>
      </c>
      <c r="Q9" s="1">
        <v>38</v>
      </c>
      <c r="R9" s="1">
        <v>0</v>
      </c>
      <c r="S9" s="1">
        <v>38</v>
      </c>
      <c r="U9" s="1" cm="1">
        <f t="array" ref="U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5</v>
      </c>
      <c r="V9" t="str">
        <v xml:space="preserve">Nick Dumonde </v>
      </c>
      <c r="W9" s="1">
        <v>10</v>
      </c>
      <c r="X9" s="4">
        <v>3.6145833333333335E-2</v>
      </c>
      <c r="Y9" s="1">
        <v>31</v>
      </c>
      <c r="Z9" s="1">
        <v>8</v>
      </c>
      <c r="AA9" s="1">
        <v>39</v>
      </c>
      <c r="AC9" s="1" cm="1">
        <f t="array" ref="AC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6</v>
      </c>
      <c r="AD9" t="str">
        <v>Alessandra Scaduto</v>
      </c>
      <c r="AE9" s="1">
        <v>25</v>
      </c>
      <c r="AF9" s="4">
        <v>2.6087962962962962E-2</v>
      </c>
      <c r="AG9" s="1">
        <v>16</v>
      </c>
      <c r="AH9" s="1">
        <v>22</v>
      </c>
      <c r="AI9" s="1">
        <v>38</v>
      </c>
      <c r="AK9" s="1" cm="1">
        <f t="array" ref="AK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6</v>
      </c>
      <c r="AL9" t="str">
        <v>Russell Beard</v>
      </c>
      <c r="AM9" s="1">
        <v>9</v>
      </c>
      <c r="AN9" s="4">
        <v>5.0081018518518518E-2</v>
      </c>
      <c r="AO9" s="1">
        <v>32</v>
      </c>
      <c r="AP9" s="1">
        <v>8</v>
      </c>
      <c r="AQ9" s="1">
        <v>40</v>
      </c>
      <c r="AS9" s="1" t="str" cm="1">
        <f t="array" ref="AS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9" s="1" t="str" cm="1">
        <f t="array" ref="BA9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0" spans="1:59" x14ac:dyDescent="0.2">
      <c r="A10" s="1" cm="1">
        <f t="array" ref="A1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7</v>
      </c>
      <c r="B10" s="8" t="str">
        <v>Sean Haywood</v>
      </c>
      <c r="C10" s="1">
        <v>185</v>
      </c>
      <c r="E10" s="1" cm="1">
        <f t="array" ref="E1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7</v>
      </c>
      <c r="F10" t="str">
        <v>David Griffiths</v>
      </c>
      <c r="G10" s="1">
        <v>11</v>
      </c>
      <c r="H10" s="4">
        <v>2.6712962962962963E-2</v>
      </c>
      <c r="I10" s="1">
        <v>30</v>
      </c>
      <c r="J10" s="1">
        <v>8</v>
      </c>
      <c r="K10" s="1">
        <v>38</v>
      </c>
      <c r="M10" s="1" cm="1">
        <f t="array" ref="M1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7</v>
      </c>
      <c r="N10" t="str">
        <v>Sean Haywood</v>
      </c>
      <c r="O10" s="1">
        <v>4</v>
      </c>
      <c r="P10" s="4">
        <v>2.1377314814814814E-2</v>
      </c>
      <c r="Q10" s="1">
        <v>37</v>
      </c>
      <c r="R10" s="1">
        <v>0</v>
      </c>
      <c r="S10" s="1">
        <v>37</v>
      </c>
      <c r="U10" s="1" cm="1">
        <f t="array" ref="U1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7</v>
      </c>
      <c r="V10" t="str">
        <v>Alex Joss</v>
      </c>
      <c r="W10" s="1">
        <v>11</v>
      </c>
      <c r="X10" s="4">
        <v>3.6423611111111108E-2</v>
      </c>
      <c r="Y10" s="1">
        <v>30</v>
      </c>
      <c r="Z10" s="1">
        <v>8</v>
      </c>
      <c r="AA10" s="1">
        <v>38</v>
      </c>
      <c r="AC10" s="1" cm="1">
        <f t="array" ref="AC1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6</v>
      </c>
      <c r="AD10" t="str">
        <v>David Griffiths</v>
      </c>
      <c r="AE10" s="1">
        <v>11</v>
      </c>
      <c r="AF10" s="4">
        <v>2.4039351851851853E-2</v>
      </c>
      <c r="AG10" s="1">
        <v>30</v>
      </c>
      <c r="AH10" s="1">
        <v>8</v>
      </c>
      <c r="AI10" s="1">
        <v>38</v>
      </c>
      <c r="AK10" s="1" cm="1">
        <f t="array" ref="AK1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6</v>
      </c>
      <c r="AL10" t="str">
        <v xml:space="preserve">David Willis </v>
      </c>
      <c r="AM10" s="1">
        <v>2</v>
      </c>
      <c r="AN10" s="4">
        <v>4.6238425925925926E-2</v>
      </c>
      <c r="AO10" s="1">
        <v>39</v>
      </c>
      <c r="AP10" s="1">
        <v>0</v>
      </c>
      <c r="AQ10" s="1">
        <v>39</v>
      </c>
      <c r="AS10" s="1" t="str" cm="1">
        <f t="array" ref="AS1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0" s="1" t="str" cm="1">
        <f t="array" ref="BA10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1" spans="1:59" x14ac:dyDescent="0.2">
      <c r="A11" s="1" cm="1">
        <f t="array" ref="A1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8</v>
      </c>
      <c r="B11" s="8" t="str">
        <v>Luke Fenney</v>
      </c>
      <c r="C11" s="1">
        <v>182</v>
      </c>
      <c r="E11" s="1" cm="1">
        <f t="array" ref="E1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7</v>
      </c>
      <c r="F11" t="str">
        <v>Peter Lyons</v>
      </c>
      <c r="G11" s="1">
        <v>3</v>
      </c>
      <c r="H11" s="4">
        <v>2.5208333333333333E-2</v>
      </c>
      <c r="I11" s="1">
        <v>38</v>
      </c>
      <c r="J11" s="1">
        <v>0</v>
      </c>
      <c r="K11" s="1">
        <v>38</v>
      </c>
      <c r="M11" s="1" cm="1">
        <f t="array" ref="M1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8</v>
      </c>
      <c r="N11" t="str">
        <v>Alessandra Scaduto</v>
      </c>
      <c r="O11" s="1">
        <v>27</v>
      </c>
      <c r="P11" s="4">
        <v>2.5046296296296296E-2</v>
      </c>
      <c r="Q11" s="1">
        <v>14</v>
      </c>
      <c r="R11" s="1">
        <v>22</v>
      </c>
      <c r="S11" s="1">
        <v>36</v>
      </c>
      <c r="U11" s="1" cm="1">
        <f t="array" ref="U1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7</v>
      </c>
      <c r="V11" t="str">
        <v>Peter Lyons</v>
      </c>
      <c r="W11" s="1">
        <v>3</v>
      </c>
      <c r="X11" s="4">
        <v>3.4652777777777775E-2</v>
      </c>
      <c r="Y11" s="1">
        <v>38</v>
      </c>
      <c r="Z11" s="1">
        <v>0</v>
      </c>
      <c r="AA11" s="1">
        <v>38</v>
      </c>
      <c r="AC11" s="1" cm="1">
        <f t="array" ref="AC1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6</v>
      </c>
      <c r="AD11" t="str">
        <v>Peter Lyons</v>
      </c>
      <c r="AE11" s="1">
        <v>3</v>
      </c>
      <c r="AF11" s="4">
        <v>2.2812499999999999E-2</v>
      </c>
      <c r="AG11" s="1">
        <v>38</v>
      </c>
      <c r="AH11" s="1">
        <v>0</v>
      </c>
      <c r="AI11" s="1">
        <v>38</v>
      </c>
      <c r="AK11" s="1" cm="1">
        <f t="array" ref="AK1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6</v>
      </c>
      <c r="AL11" t="str">
        <v>Luke Fenney</v>
      </c>
      <c r="AM11" s="1">
        <v>18</v>
      </c>
      <c r="AN11" s="4">
        <v>5.4016203703703705E-2</v>
      </c>
      <c r="AO11" s="1">
        <v>23</v>
      </c>
      <c r="AP11" s="1">
        <v>16</v>
      </c>
      <c r="AQ11" s="1">
        <v>39</v>
      </c>
      <c r="AS11" s="1" t="str" cm="1">
        <f t="array" ref="AS1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1" s="1" t="str" cm="1">
        <f t="array" ref="BA11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2" spans="1:59" x14ac:dyDescent="0.2">
      <c r="A12" s="1" cm="1">
        <f t="array" ref="A1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9</v>
      </c>
      <c r="B12" s="8" t="str">
        <v>Alex Joss</v>
      </c>
      <c r="C12" s="1">
        <v>178</v>
      </c>
      <c r="E12" s="1" cm="1">
        <f t="array" ref="E1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9</v>
      </c>
      <c r="F12" t="str">
        <v>Alex Wilson-Jones</v>
      </c>
      <c r="G12" s="1">
        <v>12</v>
      </c>
      <c r="H12" s="4">
        <v>2.6770833333333334E-2</v>
      </c>
      <c r="I12" s="1">
        <v>29</v>
      </c>
      <c r="J12" s="1">
        <v>8</v>
      </c>
      <c r="K12" s="1">
        <v>37</v>
      </c>
      <c r="M12" s="1" cm="1">
        <f t="array" ref="M1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8</v>
      </c>
      <c r="N12" t="str">
        <v>Jeremy Sharpe</v>
      </c>
      <c r="O12" s="1">
        <v>13</v>
      </c>
      <c r="P12" s="4">
        <v>2.255787037037037E-2</v>
      </c>
      <c r="Q12" s="1">
        <v>28</v>
      </c>
      <c r="R12" s="1">
        <v>8</v>
      </c>
      <c r="S12" s="1">
        <v>36</v>
      </c>
      <c r="U12" s="1" cm="1">
        <f t="array" ref="U1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9</v>
      </c>
      <c r="V12" t="str">
        <v>Sean Haywood</v>
      </c>
      <c r="W12" s="1">
        <v>4</v>
      </c>
      <c r="X12" s="4">
        <v>3.5069444444444445E-2</v>
      </c>
      <c r="Y12" s="1">
        <v>37</v>
      </c>
      <c r="Z12" s="1">
        <v>0</v>
      </c>
      <c r="AA12" s="1">
        <v>37</v>
      </c>
      <c r="AC12" s="1" cm="1">
        <f t="array" ref="AC1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9</v>
      </c>
      <c r="AD12" t="str">
        <v>Sean Haywood</v>
      </c>
      <c r="AE12" s="1">
        <v>4</v>
      </c>
      <c r="AF12" s="4">
        <v>2.2870370370370371E-2</v>
      </c>
      <c r="AG12" s="1">
        <v>37</v>
      </c>
      <c r="AH12" s="1">
        <v>0</v>
      </c>
      <c r="AI12" s="1">
        <v>37</v>
      </c>
      <c r="AK12" s="1" cm="1">
        <f t="array" ref="AK1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9</v>
      </c>
      <c r="AL12" t="str">
        <v xml:space="preserve">Nick Dumonde </v>
      </c>
      <c r="AM12" s="1">
        <v>11</v>
      </c>
      <c r="AN12" s="4">
        <v>5.0347222222222224E-2</v>
      </c>
      <c r="AO12" s="1">
        <v>30</v>
      </c>
      <c r="AP12" s="1">
        <v>8</v>
      </c>
      <c r="AQ12" s="1">
        <v>38</v>
      </c>
      <c r="AS12" s="1" t="str" cm="1">
        <f t="array" ref="AS1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2" s="1" t="str" cm="1">
        <f t="array" ref="BA12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3" spans="1:59" x14ac:dyDescent="0.2">
      <c r="A13" s="1" cm="1">
        <f t="array" ref="A1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10</v>
      </c>
      <c r="B13" s="8" t="str">
        <v>Alessandra Scaduto</v>
      </c>
      <c r="C13" s="1">
        <v>170</v>
      </c>
      <c r="E13" s="1" cm="1">
        <f t="array" ref="E1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10</v>
      </c>
      <c r="F13" t="str">
        <v>Alex Joss</v>
      </c>
      <c r="G13" s="1">
        <v>13</v>
      </c>
      <c r="H13" s="4">
        <v>2.6782407407407408E-2</v>
      </c>
      <c r="I13" s="1">
        <v>28</v>
      </c>
      <c r="J13" s="1">
        <v>8</v>
      </c>
      <c r="K13" s="1">
        <v>36</v>
      </c>
      <c r="M13" s="1" cm="1">
        <f t="array" ref="M1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8</v>
      </c>
      <c r="N13" t="str">
        <v>Mark Presland</v>
      </c>
      <c r="O13" s="1">
        <v>5</v>
      </c>
      <c r="P13" s="4">
        <v>2.1666666666666667E-2</v>
      </c>
      <c r="Q13" s="1">
        <v>36</v>
      </c>
      <c r="R13" s="1">
        <v>0</v>
      </c>
      <c r="S13" s="1">
        <v>36</v>
      </c>
      <c r="U13" s="1" cm="1">
        <f t="array" ref="U1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10</v>
      </c>
      <c r="V13" t="str">
        <v>Alan Grant</v>
      </c>
      <c r="W13" s="1">
        <v>5</v>
      </c>
      <c r="X13" s="4">
        <v>3.5324074074074077E-2</v>
      </c>
      <c r="Y13" s="1">
        <v>36</v>
      </c>
      <c r="Z13" s="1">
        <v>0</v>
      </c>
      <c r="AA13" s="1">
        <v>36</v>
      </c>
      <c r="AC13" s="1" cm="1">
        <f t="array" ref="AC1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10</v>
      </c>
      <c r="AD13" t="str">
        <v>Paul Davey</v>
      </c>
      <c r="AE13" s="1">
        <v>5</v>
      </c>
      <c r="AF13" s="4">
        <v>2.2870370370370371E-2</v>
      </c>
      <c r="AG13" s="1">
        <v>36</v>
      </c>
      <c r="AH13" s="1">
        <v>0</v>
      </c>
      <c r="AI13" s="1">
        <v>36</v>
      </c>
      <c r="AK13" s="1" cm="1">
        <f t="array" ref="AK1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10</v>
      </c>
      <c r="AL13" t="str">
        <v>Sean Haywood</v>
      </c>
      <c r="AM13" s="1">
        <v>3</v>
      </c>
      <c r="AN13" s="4">
        <v>4.7256944444444442E-2</v>
      </c>
      <c r="AO13" s="1">
        <v>38</v>
      </c>
      <c r="AP13" s="1">
        <v>0</v>
      </c>
      <c r="AQ13" s="1">
        <v>38</v>
      </c>
      <c r="AS13" s="1" t="str" cm="1">
        <f t="array" ref="AS1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3" s="1" t="str" cm="1">
        <f t="array" ref="BA13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4" spans="1:59" x14ac:dyDescent="0.2">
      <c r="A14" s="1" cm="1">
        <f t="array" ref="A1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11</v>
      </c>
      <c r="B14" s="8" t="str">
        <v>David Griffiths</v>
      </c>
      <c r="C14" s="1">
        <v>168</v>
      </c>
      <c r="E14" s="1" cm="1">
        <f t="array" ref="E1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10</v>
      </c>
      <c r="F14" t="str">
        <v>Sean Haywood</v>
      </c>
      <c r="G14" s="1">
        <v>5</v>
      </c>
      <c r="H14" s="4">
        <v>2.539351851851852E-2</v>
      </c>
      <c r="I14" s="1">
        <v>36</v>
      </c>
      <c r="J14" s="1">
        <v>0</v>
      </c>
      <c r="K14" s="1">
        <v>36</v>
      </c>
      <c r="M14" s="1" cm="1">
        <f t="array" ref="M1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11</v>
      </c>
      <c r="N14" t="str">
        <v>Justin Goold</v>
      </c>
      <c r="O14" s="1">
        <v>14</v>
      </c>
      <c r="P14" s="4">
        <v>2.2592592592592591E-2</v>
      </c>
      <c r="Q14" s="1">
        <v>27</v>
      </c>
      <c r="R14" s="1">
        <v>8</v>
      </c>
      <c r="S14" s="1">
        <v>35</v>
      </c>
      <c r="U14" s="1" cm="1">
        <f t="array" ref="U1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11</v>
      </c>
      <c r="V14" t="str">
        <v>Martyn Hopping</v>
      </c>
      <c r="W14" s="1">
        <v>22</v>
      </c>
      <c r="X14" s="4">
        <v>3.8958333333333331E-2</v>
      </c>
      <c r="Y14" s="1">
        <v>19</v>
      </c>
      <c r="Z14" s="1">
        <v>16</v>
      </c>
      <c r="AA14" s="1">
        <v>35</v>
      </c>
      <c r="AC14" s="1" cm="1">
        <f t="array" ref="AC1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11</v>
      </c>
      <c r="AD14" t="str">
        <v>Laura McMullen</v>
      </c>
      <c r="AE14" s="1">
        <v>14</v>
      </c>
      <c r="AF14" s="4">
        <v>2.4155092592592593E-2</v>
      </c>
      <c r="AG14" s="1">
        <v>27</v>
      </c>
      <c r="AH14" s="1">
        <v>8</v>
      </c>
      <c r="AI14" s="1">
        <v>35</v>
      </c>
      <c r="AK14" s="1" cm="1">
        <f t="array" ref="AK1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11</v>
      </c>
      <c r="AL14" t="str">
        <v>Peter Lyons</v>
      </c>
      <c r="AM14" s="1">
        <v>4</v>
      </c>
      <c r="AN14" s="4">
        <v>4.8946759259259259E-2</v>
      </c>
      <c r="AO14" s="1">
        <v>37</v>
      </c>
      <c r="AP14" s="1">
        <v>0</v>
      </c>
      <c r="AQ14" s="1">
        <v>37</v>
      </c>
      <c r="AS14" s="1" t="str" cm="1">
        <f t="array" ref="AS1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4" s="1" t="str" cm="1">
        <f t="array" ref="BA1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5" spans="1:59" x14ac:dyDescent="0.2">
      <c r="A15" s="1" cm="1">
        <f t="array" ref="A1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12</v>
      </c>
      <c r="B15" s="8" t="str">
        <v>Alex Wilson-Jones</v>
      </c>
      <c r="C15" s="1">
        <v>166</v>
      </c>
      <c r="E15" s="1" cm="1">
        <f t="array" ref="E1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12</v>
      </c>
      <c r="F15" t="str">
        <v>Alexandra Chuchu</v>
      </c>
      <c r="G15" s="1">
        <v>28</v>
      </c>
      <c r="H15" s="4">
        <v>2.9456018518518517E-2</v>
      </c>
      <c r="I15" s="1">
        <v>13</v>
      </c>
      <c r="J15" s="1">
        <v>22</v>
      </c>
      <c r="K15" s="1">
        <v>35</v>
      </c>
      <c r="M15" s="1" cm="1">
        <f t="array" ref="M1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11</v>
      </c>
      <c r="N15" t="str">
        <v>Luke Benfield</v>
      </c>
      <c r="O15" s="1">
        <v>6</v>
      </c>
      <c r="P15" s="4">
        <v>2.1759259259259259E-2</v>
      </c>
      <c r="Q15" s="1">
        <v>35</v>
      </c>
      <c r="R15" s="1">
        <v>0</v>
      </c>
      <c r="S15" s="1">
        <v>35</v>
      </c>
      <c r="U15" s="1" cm="1">
        <f t="array" ref="U1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12</v>
      </c>
      <c r="V15" t="str">
        <v>Mark Presland</v>
      </c>
      <c r="W15" s="1">
        <v>7</v>
      </c>
      <c r="X15" s="4">
        <v>3.5810185185185188E-2</v>
      </c>
      <c r="Y15" s="1">
        <v>34</v>
      </c>
      <c r="Z15" s="1">
        <v>0</v>
      </c>
      <c r="AA15" s="1">
        <v>34</v>
      </c>
      <c r="AC15" s="1" cm="1">
        <f t="array" ref="AC1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11</v>
      </c>
      <c r="AD15" t="str">
        <v>Martyn Hopping</v>
      </c>
      <c r="AE15" s="1">
        <v>22</v>
      </c>
      <c r="AF15" s="4">
        <v>2.5763888888888888E-2</v>
      </c>
      <c r="AG15" s="1">
        <v>19</v>
      </c>
      <c r="AH15" s="1">
        <v>16</v>
      </c>
      <c r="AI15" s="1">
        <v>35</v>
      </c>
      <c r="AK15" s="1" cm="1">
        <f t="array" ref="AK1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11</v>
      </c>
      <c r="AL15" t="str">
        <v>Jeremy Sharpe</v>
      </c>
      <c r="AM15" s="1">
        <v>13</v>
      </c>
      <c r="AN15" s="4">
        <v>5.2083333333333336E-2</v>
      </c>
      <c r="AO15" s="1">
        <v>28</v>
      </c>
      <c r="AP15" s="1">
        <v>8</v>
      </c>
      <c r="AQ15" s="1">
        <v>36</v>
      </c>
      <c r="AS15" s="1" t="str" cm="1">
        <f t="array" ref="AS1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5" s="1" t="str" cm="1">
        <f t="array" ref="BA1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6" spans="1:59" x14ac:dyDescent="0.2">
      <c r="A16" s="1" cm="1">
        <f t="array" ref="A1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13</v>
      </c>
      <c r="B16" s="8" t="str">
        <v>Joe Barrett</v>
      </c>
      <c r="C16" s="1">
        <v>164</v>
      </c>
      <c r="E16" s="1" cm="1">
        <f t="array" ref="E1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12</v>
      </c>
      <c r="F16" t="str">
        <v>Justin Goold</v>
      </c>
      <c r="G16" s="1">
        <v>14</v>
      </c>
      <c r="H16" s="4">
        <v>2.6828703703703705E-2</v>
      </c>
      <c r="I16" s="1">
        <v>27</v>
      </c>
      <c r="J16" s="1">
        <v>8</v>
      </c>
      <c r="K16" s="1">
        <v>35</v>
      </c>
      <c r="M16" s="1" cm="1">
        <f t="array" ref="M1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11</v>
      </c>
      <c r="N16" t="str">
        <v>Luke Fenney</v>
      </c>
      <c r="O16" s="1">
        <v>22</v>
      </c>
      <c r="P16" s="4">
        <v>2.3935185185185184E-2</v>
      </c>
      <c r="Q16" s="1">
        <v>19</v>
      </c>
      <c r="R16" s="1">
        <v>16</v>
      </c>
      <c r="S16" s="1">
        <v>35</v>
      </c>
      <c r="U16" s="1" cm="1">
        <f t="array" ref="U1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12</v>
      </c>
      <c r="V16" t="str">
        <v>Patricia Villar</v>
      </c>
      <c r="W16" s="1">
        <v>33</v>
      </c>
      <c r="X16" s="4">
        <v>4.4849537037037035E-2</v>
      </c>
      <c r="Y16" s="1">
        <v>12</v>
      </c>
      <c r="Z16" s="1">
        <v>22</v>
      </c>
      <c r="AA16" s="1">
        <v>34</v>
      </c>
      <c r="AC16" s="1" cm="1">
        <f t="array" ref="AC1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13</v>
      </c>
      <c r="AD16" t="str">
        <v xml:space="preserve">Adam Currie </v>
      </c>
      <c r="AE16" s="1">
        <v>7</v>
      </c>
      <c r="AF16" s="4">
        <v>2.3587962962962963E-2</v>
      </c>
      <c r="AG16" s="1">
        <v>34</v>
      </c>
      <c r="AH16" s="1">
        <v>0</v>
      </c>
      <c r="AI16" s="1">
        <v>34</v>
      </c>
      <c r="AK16" s="1" cm="1">
        <f t="array" ref="AK1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13</v>
      </c>
      <c r="AL16" t="str">
        <v>Joe Barrett</v>
      </c>
      <c r="AM16" s="1">
        <v>5</v>
      </c>
      <c r="AN16" s="4">
        <v>4.9085648148148149E-2</v>
      </c>
      <c r="AO16" s="1">
        <v>36</v>
      </c>
      <c r="AP16" s="1">
        <v>0</v>
      </c>
      <c r="AQ16" s="1">
        <v>36</v>
      </c>
      <c r="AS16" s="1" t="str" cm="1">
        <f t="array" ref="AS1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6" s="1" t="str" cm="1">
        <f t="array" ref="BA16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7" spans="1:53" x14ac:dyDescent="0.2">
      <c r="A17" s="1" cm="1">
        <f t="array" ref="A1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14</v>
      </c>
      <c r="B17" s="8" t="str">
        <v>Jeremy Sharpe</v>
      </c>
      <c r="C17" s="1">
        <v>163</v>
      </c>
      <c r="E17" s="1" cm="1">
        <f t="array" ref="E1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12</v>
      </c>
      <c r="F17" t="str">
        <v>Luke Benfield</v>
      </c>
      <c r="G17" s="1">
        <v>6</v>
      </c>
      <c r="H17" s="4">
        <v>2.6064814814814815E-2</v>
      </c>
      <c r="I17" s="1">
        <v>35</v>
      </c>
      <c r="J17" s="1">
        <v>0</v>
      </c>
      <c r="K17" s="1">
        <v>35</v>
      </c>
      <c r="M17" s="1" cm="1">
        <f t="array" ref="M1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14</v>
      </c>
      <c r="N17" t="str">
        <v>Alan Grant</v>
      </c>
      <c r="O17" s="1">
        <v>7</v>
      </c>
      <c r="P17" s="4">
        <v>2.2048611111111113E-2</v>
      </c>
      <c r="Q17" s="1">
        <v>34</v>
      </c>
      <c r="R17" s="1">
        <v>0</v>
      </c>
      <c r="S17" s="1">
        <v>34</v>
      </c>
      <c r="U17" s="1" cm="1">
        <f t="array" ref="U1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14</v>
      </c>
      <c r="V17" t="str">
        <v>Justin Goold</v>
      </c>
      <c r="W17" s="1">
        <v>16</v>
      </c>
      <c r="X17" s="4">
        <v>3.7557870370370373E-2</v>
      </c>
      <c r="Y17" s="1">
        <v>25</v>
      </c>
      <c r="Z17" s="1">
        <v>8</v>
      </c>
      <c r="AA17" s="1">
        <v>33</v>
      </c>
      <c r="AC17" s="1" cm="1">
        <f t="array" ref="AC1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13</v>
      </c>
      <c r="AD17" t="str">
        <v>Alex Wilson-Jones</v>
      </c>
      <c r="AE17" s="1">
        <v>15</v>
      </c>
      <c r="AF17" s="4">
        <v>2.4328703703703703E-2</v>
      </c>
      <c r="AG17" s="1">
        <v>26</v>
      </c>
      <c r="AH17" s="1">
        <v>8</v>
      </c>
      <c r="AI17" s="1">
        <v>34</v>
      </c>
      <c r="AK17" s="1" cm="1">
        <f t="array" ref="AK1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13</v>
      </c>
      <c r="AL17" t="str">
        <v>Alexandra Chuchu</v>
      </c>
      <c r="AM17" s="1">
        <v>28</v>
      </c>
      <c r="AN17" s="4">
        <v>6.0057870370370373E-2</v>
      </c>
      <c r="AO17" s="1">
        <v>13</v>
      </c>
      <c r="AP17" s="1">
        <v>22</v>
      </c>
      <c r="AQ17" s="1">
        <v>35</v>
      </c>
      <c r="AS17" s="1" t="str" cm="1">
        <f t="array" ref="AS1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7" s="1" t="str" cm="1">
        <f t="array" ref="BA17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8" spans="1:53" x14ac:dyDescent="0.2">
      <c r="A18" s="1" cm="1">
        <f t="array" ref="A1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15</v>
      </c>
      <c r="B18" s="8" t="str">
        <v>Alexandra Chuchu</v>
      </c>
      <c r="C18" s="1">
        <v>162</v>
      </c>
      <c r="E18" s="1" cm="1">
        <f t="array" ref="E1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12</v>
      </c>
      <c r="F18" t="str">
        <v>Luke Fenney</v>
      </c>
      <c r="G18" s="1">
        <v>22</v>
      </c>
      <c r="H18" s="4">
        <v>2.7974537037037037E-2</v>
      </c>
      <c r="I18" s="1">
        <v>19</v>
      </c>
      <c r="J18" s="1">
        <v>16</v>
      </c>
      <c r="K18" s="1">
        <v>35</v>
      </c>
      <c r="M18" s="1" cm="1">
        <f t="array" ref="M1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14</v>
      </c>
      <c r="N18" t="str">
        <v>James Turner</v>
      </c>
      <c r="O18" s="1">
        <v>29</v>
      </c>
      <c r="P18" s="4">
        <v>2.5439814814814814E-2</v>
      </c>
      <c r="Q18" s="1">
        <v>12</v>
      </c>
      <c r="R18" s="1">
        <v>22</v>
      </c>
      <c r="S18" s="1">
        <v>34</v>
      </c>
      <c r="U18" s="1" cm="1">
        <f t="array" ref="U1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14</v>
      </c>
      <c r="V18" t="str">
        <v>Luke Fenney</v>
      </c>
      <c r="W18" s="1">
        <v>24</v>
      </c>
      <c r="X18" s="4">
        <v>3.9664351851851853E-2</v>
      </c>
      <c r="Y18" s="1">
        <v>17</v>
      </c>
      <c r="Z18" s="1">
        <v>16</v>
      </c>
      <c r="AA18" s="1">
        <v>33</v>
      </c>
      <c r="AC18" s="1" cm="1">
        <f t="array" ref="AC1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15</v>
      </c>
      <c r="AD18" t="str">
        <v>Alex Joss</v>
      </c>
      <c r="AE18" s="1">
        <v>16</v>
      </c>
      <c r="AF18" s="4">
        <v>2.4479166666666666E-2</v>
      </c>
      <c r="AG18" s="1">
        <v>25</v>
      </c>
      <c r="AH18" s="1">
        <v>8</v>
      </c>
      <c r="AI18" s="1">
        <v>33</v>
      </c>
      <c r="AK18" s="1" cm="1">
        <f t="array" ref="AK1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15</v>
      </c>
      <c r="AL18" t="str">
        <v>Mark Presland</v>
      </c>
      <c r="AM18" s="1">
        <v>6</v>
      </c>
      <c r="AN18" s="4">
        <v>4.925925925925926E-2</v>
      </c>
      <c r="AO18" s="1">
        <v>35</v>
      </c>
      <c r="AP18" s="1">
        <v>0</v>
      </c>
      <c r="AQ18" s="1">
        <v>35</v>
      </c>
      <c r="AS18" s="1" t="str" cm="1">
        <f t="array" ref="AS1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8" s="1" t="str" cm="1">
        <f t="array" ref="BA18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9" spans="1:53" x14ac:dyDescent="0.2">
      <c r="A19" s="1" cm="1">
        <f t="array" ref="A1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16</v>
      </c>
      <c r="B19" s="8" t="str">
        <v>Martyn Hopping</v>
      </c>
      <c r="C19" s="1">
        <v>160</v>
      </c>
      <c r="E19" s="1" cm="1">
        <f t="array" ref="E1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16</v>
      </c>
      <c r="F19" t="str">
        <v>Alessandra Scaduto</v>
      </c>
      <c r="G19" s="1">
        <v>29</v>
      </c>
      <c r="H19" s="4">
        <v>3.0138888888888889E-2</v>
      </c>
      <c r="I19" s="1">
        <v>12</v>
      </c>
      <c r="J19" s="1">
        <v>22</v>
      </c>
      <c r="K19" s="1">
        <v>34</v>
      </c>
      <c r="M19" s="1" cm="1">
        <f t="array" ref="M1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14</v>
      </c>
      <c r="N19" t="str">
        <v>Laura McMullen</v>
      </c>
      <c r="O19" s="1">
        <v>15</v>
      </c>
      <c r="P19" s="4">
        <v>2.2708333333333334E-2</v>
      </c>
      <c r="Q19" s="1">
        <v>26</v>
      </c>
      <c r="R19" s="1">
        <v>8</v>
      </c>
      <c r="S19" s="1">
        <v>34</v>
      </c>
      <c r="U19" s="1" cm="1">
        <f t="array" ref="U1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16</v>
      </c>
      <c r="V19" t="str">
        <v>Jeremy Sharpe</v>
      </c>
      <c r="W19" s="1">
        <v>17</v>
      </c>
      <c r="X19" s="4">
        <v>3.7638888888888888E-2</v>
      </c>
      <c r="Y19" s="1">
        <v>24</v>
      </c>
      <c r="Z19" s="1">
        <v>8</v>
      </c>
      <c r="AA19" s="1">
        <v>32</v>
      </c>
      <c r="AC19" s="1" cm="1">
        <f t="array" ref="AC1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15</v>
      </c>
      <c r="AD19" t="str">
        <v>David Goddard</v>
      </c>
      <c r="AE19" s="1">
        <v>8</v>
      </c>
      <c r="AF19" s="4">
        <v>2.3622685185185184E-2</v>
      </c>
      <c r="AG19" s="1">
        <v>33</v>
      </c>
      <c r="AH19" s="1">
        <v>0</v>
      </c>
      <c r="AI19" s="1">
        <v>33</v>
      </c>
      <c r="AK19" s="1" cm="1">
        <f t="array" ref="AK1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15</v>
      </c>
      <c r="AL19" t="str">
        <v>Simon White</v>
      </c>
      <c r="AM19" s="1">
        <v>14</v>
      </c>
      <c r="AN19" s="4" t="str">
        <v>01:!5:06</v>
      </c>
      <c r="AO19" s="1">
        <v>27</v>
      </c>
      <c r="AP19" s="1">
        <v>8</v>
      </c>
      <c r="AQ19" s="1">
        <v>35</v>
      </c>
      <c r="AS19" s="1" t="str" cm="1">
        <f t="array" ref="AS1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9" s="1" t="str" cm="1">
        <f t="array" ref="BA19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0" spans="1:53" x14ac:dyDescent="0.2">
      <c r="A20" s="1" cm="1">
        <f t="array" ref="A2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17</v>
      </c>
      <c r="B20" s="8" t="str">
        <v>Luke Benfield</v>
      </c>
      <c r="C20" s="1">
        <v>159</v>
      </c>
      <c r="E20" s="1" cm="1">
        <f t="array" ref="E2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16</v>
      </c>
      <c r="F20" t="str">
        <v>Joe Barrett</v>
      </c>
      <c r="G20" s="1">
        <v>7</v>
      </c>
      <c r="H20" s="4">
        <v>2.6249999999999999E-2</v>
      </c>
      <c r="I20" s="1">
        <v>34</v>
      </c>
      <c r="J20" s="1">
        <v>0</v>
      </c>
      <c r="K20" s="1">
        <v>34</v>
      </c>
      <c r="M20" s="1" cm="1">
        <f t="array" ref="M2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17</v>
      </c>
      <c r="N20" t="str">
        <v>Alex Wilson-Jones</v>
      </c>
      <c r="O20" s="1">
        <v>16</v>
      </c>
      <c r="P20" s="4">
        <v>2.2766203703703705E-2</v>
      </c>
      <c r="Q20" s="1">
        <v>25</v>
      </c>
      <c r="R20" s="1">
        <v>8</v>
      </c>
      <c r="S20" s="1">
        <v>33</v>
      </c>
      <c r="U20" s="1" cm="1">
        <f t="array" ref="U2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16</v>
      </c>
      <c r="V20" t="str">
        <v>Joe Barrett</v>
      </c>
      <c r="W20" s="1">
        <v>9</v>
      </c>
      <c r="X20" s="4">
        <v>3.5983796296296298E-2</v>
      </c>
      <c r="Y20" s="1">
        <v>32</v>
      </c>
      <c r="Z20" s="1">
        <v>0</v>
      </c>
      <c r="AA20" s="1">
        <v>32</v>
      </c>
      <c r="AC20" s="1" cm="1">
        <f t="array" ref="AC2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17</v>
      </c>
      <c r="AD20" t="str">
        <v>Alan Grant</v>
      </c>
      <c r="AE20" s="1">
        <v>9</v>
      </c>
      <c r="AF20" s="4">
        <v>2.3715277777777776E-2</v>
      </c>
      <c r="AG20" s="1">
        <v>32</v>
      </c>
      <c r="AH20" s="1">
        <v>0</v>
      </c>
      <c r="AI20" s="1">
        <v>32</v>
      </c>
      <c r="AK20" s="1" cm="1">
        <f t="array" ref="AK2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17</v>
      </c>
      <c r="AL20" t="str">
        <v>Phoebe Macwhinnie</v>
      </c>
      <c r="AM20" s="1">
        <v>29</v>
      </c>
      <c r="AN20" s="4">
        <v>6.0428240740740741E-2</v>
      </c>
      <c r="AO20" s="1">
        <v>12</v>
      </c>
      <c r="AP20" s="1">
        <v>22</v>
      </c>
      <c r="AQ20" s="1">
        <v>34</v>
      </c>
      <c r="AS20" s="1" t="str" cm="1">
        <f t="array" ref="AS2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0" s="1" t="str" cm="1">
        <f t="array" ref="BA20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1" spans="1:53" x14ac:dyDescent="0.2">
      <c r="A21" s="1" cm="1">
        <f t="array" ref="A2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18</v>
      </c>
      <c r="B21" s="8" t="str">
        <v xml:space="preserve">Nick Dumonde </v>
      </c>
      <c r="C21" s="1">
        <v>156</v>
      </c>
      <c r="E21" s="1" cm="1">
        <f t="array" ref="E2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18</v>
      </c>
      <c r="F21" t="str">
        <v xml:space="preserve">Adam Currie </v>
      </c>
      <c r="G21" s="1">
        <v>8</v>
      </c>
      <c r="H21" s="4">
        <v>2.6388888888888889E-2</v>
      </c>
      <c r="I21" s="1">
        <v>33</v>
      </c>
      <c r="J21" s="1">
        <v>0</v>
      </c>
      <c r="K21" s="1">
        <v>33</v>
      </c>
      <c r="M21" s="1" cm="1">
        <f t="array" ref="M2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17</v>
      </c>
      <c r="N21" t="str">
        <v>David Goddard</v>
      </c>
      <c r="O21" s="1">
        <v>8</v>
      </c>
      <c r="P21" s="4">
        <v>2.2268518518518517E-2</v>
      </c>
      <c r="Q21" s="1">
        <v>33</v>
      </c>
      <c r="R21" s="1">
        <v>0</v>
      </c>
      <c r="S21" s="1">
        <v>33</v>
      </c>
      <c r="U21" s="1" cm="1">
        <f t="array" ref="U2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16</v>
      </c>
      <c r="V21" t="str">
        <v>Phoebe Macwhinnie</v>
      </c>
      <c r="W21" s="1">
        <v>31</v>
      </c>
      <c r="X21" s="4">
        <v>4.3668981481481482E-2</v>
      </c>
      <c r="Y21" s="1">
        <v>10</v>
      </c>
      <c r="Z21" s="1">
        <v>22</v>
      </c>
      <c r="AA21" s="1">
        <v>32</v>
      </c>
      <c r="AC21" s="1" cm="1">
        <f t="array" ref="AC2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18</v>
      </c>
      <c r="AD21" t="str">
        <v>Jeremy Sharpe</v>
      </c>
      <c r="AE21" s="1">
        <v>18</v>
      </c>
      <c r="AF21" s="4">
        <v>2.4745370370370369E-2</v>
      </c>
      <c r="AG21" s="1">
        <v>23</v>
      </c>
      <c r="AH21" s="1">
        <v>8</v>
      </c>
      <c r="AI21" s="1">
        <v>31</v>
      </c>
      <c r="AK21" s="1" cm="1">
        <f t="array" ref="AK2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18</v>
      </c>
      <c r="AL21" t="str">
        <v>Tom Bagley</v>
      </c>
      <c r="AM21" s="1">
        <v>23</v>
      </c>
      <c r="AN21" s="4">
        <v>5.5682870370370369E-2</v>
      </c>
      <c r="AO21" s="1">
        <v>18</v>
      </c>
      <c r="AP21" s="1">
        <v>16</v>
      </c>
      <c r="AQ21" s="1">
        <v>34</v>
      </c>
      <c r="AS21" s="1" t="str" cm="1">
        <f t="array" ref="AS2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1" s="1" t="str" cm="1">
        <f t="array" ref="BA21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2" spans="1:53" x14ac:dyDescent="0.2">
      <c r="A22" s="1" cm="1">
        <f t="array" ref="A2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18</v>
      </c>
      <c r="B22" s="8" t="str">
        <v>Simon White</v>
      </c>
      <c r="C22" s="1">
        <v>156</v>
      </c>
      <c r="E22" s="1" cm="1">
        <f t="array" ref="E2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18</v>
      </c>
      <c r="F22" t="str">
        <v>Martyn Hopping</v>
      </c>
      <c r="G22" s="1">
        <v>24</v>
      </c>
      <c r="H22" s="4">
        <v>2.8472222222222222E-2</v>
      </c>
      <c r="I22" s="1">
        <v>17</v>
      </c>
      <c r="J22" s="1">
        <v>16</v>
      </c>
      <c r="K22" s="1">
        <v>33</v>
      </c>
      <c r="M22" s="1" cm="1">
        <f t="array" ref="M2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17</v>
      </c>
      <c r="N22" t="str">
        <v>Matt Wynn</v>
      </c>
      <c r="O22" s="1">
        <v>24</v>
      </c>
      <c r="P22" s="4">
        <v>2.4363425925925927E-2</v>
      </c>
      <c r="Q22" s="1">
        <v>17</v>
      </c>
      <c r="R22" s="1">
        <v>16</v>
      </c>
      <c r="S22" s="1">
        <v>33</v>
      </c>
      <c r="U22" s="1" cm="1">
        <f t="array" ref="U2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19</v>
      </c>
      <c r="V22" t="str">
        <v>Alexandra Chuchu</v>
      </c>
      <c r="W22" s="1">
        <v>32</v>
      </c>
      <c r="X22" s="4">
        <v>4.4270833333333336E-2</v>
      </c>
      <c r="Y22" s="1">
        <v>9</v>
      </c>
      <c r="Z22" s="1">
        <v>22</v>
      </c>
      <c r="AA22" s="1">
        <v>31</v>
      </c>
      <c r="AC22" s="1" cm="1">
        <f t="array" ref="AC2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18</v>
      </c>
      <c r="AD22" t="str">
        <v>Joe Barrett</v>
      </c>
      <c r="AE22" s="1">
        <v>10</v>
      </c>
      <c r="AF22" s="4">
        <v>2.3969907407407409E-2</v>
      </c>
      <c r="AG22" s="1">
        <v>31</v>
      </c>
      <c r="AH22" s="1">
        <v>0</v>
      </c>
      <c r="AI22" s="1">
        <v>31</v>
      </c>
      <c r="AK22" s="1" cm="1">
        <f t="array" ref="AK2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18</v>
      </c>
      <c r="AL22" t="str">
        <v>Alex Wilson-Jones</v>
      </c>
      <c r="AM22" s="1">
        <v>17</v>
      </c>
      <c r="AN22" s="4">
        <v>5.3680555555555558E-2</v>
      </c>
      <c r="AO22" s="1">
        <v>24</v>
      </c>
      <c r="AP22" s="1">
        <v>8</v>
      </c>
      <c r="AQ22" s="1">
        <v>32</v>
      </c>
      <c r="AS22" s="1" t="str" cm="1">
        <f t="array" ref="AS2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2" s="1" t="str" cm="1">
        <f t="array" ref="BA22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3" spans="1:53" x14ac:dyDescent="0.2">
      <c r="A23" s="1" cm="1">
        <f t="array" ref="A2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20</v>
      </c>
      <c r="B23" s="8" t="str">
        <v>Phoebe Macwhinnie</v>
      </c>
      <c r="C23" s="1">
        <v>155</v>
      </c>
      <c r="E23" s="1" cm="1">
        <f t="array" ref="E2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20</v>
      </c>
      <c r="F23" t="str">
        <v>Gareth Edwards</v>
      </c>
      <c r="G23" s="1">
        <v>17</v>
      </c>
      <c r="H23" s="4">
        <v>2.6863425925925926E-2</v>
      </c>
      <c r="I23" s="1">
        <v>24</v>
      </c>
      <c r="J23" s="1">
        <v>8</v>
      </c>
      <c r="K23" s="1">
        <v>32</v>
      </c>
      <c r="M23" s="1" cm="1">
        <f t="array" ref="M2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20</v>
      </c>
      <c r="N23" t="str">
        <v>Simon White</v>
      </c>
      <c r="O23" s="1">
        <v>17</v>
      </c>
      <c r="P23" s="4">
        <v>2.2824074074074073E-2</v>
      </c>
      <c r="Q23" s="1">
        <v>24</v>
      </c>
      <c r="R23" s="1">
        <v>8</v>
      </c>
      <c r="S23" s="1">
        <v>32</v>
      </c>
      <c r="U23" s="1" cm="1">
        <f t="array" ref="U2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19</v>
      </c>
      <c r="V23" t="str">
        <v>Matt Wynn</v>
      </c>
      <c r="W23" s="1">
        <v>26</v>
      </c>
      <c r="X23" s="4">
        <v>4.0081018518518516E-2</v>
      </c>
      <c r="Y23" s="1">
        <v>15</v>
      </c>
      <c r="Z23" s="1">
        <v>16</v>
      </c>
      <c r="AA23" s="1">
        <v>31</v>
      </c>
      <c r="AC23" s="1" cm="1">
        <f t="array" ref="AC2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18</v>
      </c>
      <c r="AD23" t="str">
        <v>Mark Stancombe</v>
      </c>
      <c r="AE23" s="1">
        <v>38</v>
      </c>
      <c r="AF23" s="4">
        <v>3.4953703703703702E-2</v>
      </c>
      <c r="AG23" s="1">
        <v>15</v>
      </c>
      <c r="AH23" s="1">
        <v>16</v>
      </c>
      <c r="AI23" s="1">
        <v>31</v>
      </c>
      <c r="AK23" s="1" cm="1">
        <f t="array" ref="AK2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18</v>
      </c>
      <c r="AL23" t="str">
        <v>Matt Wynn</v>
      </c>
      <c r="AM23" s="1">
        <v>25</v>
      </c>
      <c r="AN23" s="4">
        <v>5.7708333333333334E-2</v>
      </c>
      <c r="AO23" s="1">
        <v>16</v>
      </c>
      <c r="AP23" s="1">
        <v>16</v>
      </c>
      <c r="AQ23" s="1">
        <v>32</v>
      </c>
      <c r="AS23" s="1" t="str" cm="1">
        <f t="array" ref="AS2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3" s="1" t="str" cm="1">
        <f t="array" ref="BA23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4" spans="1:53" x14ac:dyDescent="0.2">
      <c r="A24" s="1" cm="1">
        <f t="array" ref="A2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20</v>
      </c>
      <c r="B24" s="8" t="str">
        <v>Tom Bagley</v>
      </c>
      <c r="C24" s="1">
        <v>155</v>
      </c>
      <c r="E24" s="1" cm="1">
        <f t="array" ref="E2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21</v>
      </c>
      <c r="F24" t="str">
        <v>Hans Stiles</v>
      </c>
      <c r="G24" s="1">
        <v>18</v>
      </c>
      <c r="H24" s="4">
        <v>2.6898148148148147E-2</v>
      </c>
      <c r="I24" s="1">
        <v>23</v>
      </c>
      <c r="J24" s="1">
        <v>8</v>
      </c>
      <c r="K24" s="1">
        <v>31</v>
      </c>
      <c r="M24" s="1" cm="1">
        <f t="array" ref="M2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20</v>
      </c>
      <c r="N24" t="str">
        <v>Tom Bagley</v>
      </c>
      <c r="O24" s="1">
        <v>25</v>
      </c>
      <c r="P24" s="4">
        <v>2.4849537037037038E-2</v>
      </c>
      <c r="Q24" s="1">
        <v>16</v>
      </c>
      <c r="R24" s="1">
        <v>16</v>
      </c>
      <c r="S24" s="1">
        <v>32</v>
      </c>
      <c r="U24" s="1" cm="1">
        <f t="array" ref="U2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19</v>
      </c>
      <c r="V24" t="str">
        <v>Simon White</v>
      </c>
      <c r="W24" s="1">
        <v>18</v>
      </c>
      <c r="X24" s="4">
        <v>3.7766203703703705E-2</v>
      </c>
      <c r="Y24" s="1">
        <v>23</v>
      </c>
      <c r="Z24" s="1">
        <v>8</v>
      </c>
      <c r="AA24" s="1">
        <v>31</v>
      </c>
      <c r="AC24" s="1" cm="1">
        <f t="array" ref="AC2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18</v>
      </c>
      <c r="AD24" t="str">
        <v>Phoebe Macwhinnie</v>
      </c>
      <c r="AE24" s="1">
        <v>32</v>
      </c>
      <c r="AF24" s="4">
        <v>2.7002314814814816E-2</v>
      </c>
      <c r="AG24" s="1">
        <v>9</v>
      </c>
      <c r="AH24" s="1">
        <v>22</v>
      </c>
      <c r="AI24" s="1">
        <v>31</v>
      </c>
      <c r="AK24" s="1" cm="1">
        <f t="array" ref="AK2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18</v>
      </c>
      <c r="AL24" t="str">
        <v>Patricia Villar</v>
      </c>
      <c r="AM24" s="1">
        <v>31</v>
      </c>
      <c r="AN24" s="4">
        <v>6.3969907407407406E-2</v>
      </c>
      <c r="AO24" s="1">
        <v>10</v>
      </c>
      <c r="AP24" s="1">
        <v>22</v>
      </c>
      <c r="AQ24" s="1">
        <v>32</v>
      </c>
      <c r="AS24" s="1" t="str" cm="1">
        <f t="array" ref="AS2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4" s="1" t="str" cm="1">
        <f t="array" ref="BA2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5" spans="1:53" x14ac:dyDescent="0.2">
      <c r="A25" s="1" cm="1">
        <f t="array" ref="A2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22</v>
      </c>
      <c r="B25" s="8" t="str">
        <v>Patricia Villar</v>
      </c>
      <c r="C25" s="1">
        <v>153</v>
      </c>
      <c r="E25" s="1" cm="1">
        <f t="array" ref="E2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21</v>
      </c>
      <c r="F25" t="str">
        <v>Tom Bagley</v>
      </c>
      <c r="G25" s="1">
        <v>26</v>
      </c>
      <c r="H25" s="4">
        <v>2.8912037037037038E-2</v>
      </c>
      <c r="I25" s="1">
        <v>15</v>
      </c>
      <c r="J25" s="1">
        <v>16</v>
      </c>
      <c r="K25" s="1">
        <v>31</v>
      </c>
      <c r="M25" s="1" cm="1">
        <f t="array" ref="M2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22</v>
      </c>
      <c r="N25" t="str">
        <v>Alex Joss</v>
      </c>
      <c r="O25" s="1">
        <v>18</v>
      </c>
      <c r="P25" s="4">
        <v>2.329861111111111E-2</v>
      </c>
      <c r="Q25" s="1">
        <v>23</v>
      </c>
      <c r="R25" s="1">
        <v>8</v>
      </c>
      <c r="S25" s="1">
        <v>31</v>
      </c>
      <c r="U25" s="1" cm="1">
        <f t="array" ref="U2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22</v>
      </c>
      <c r="V25" t="str">
        <v>Alex Wilson-Jones</v>
      </c>
      <c r="W25" s="1">
        <v>19</v>
      </c>
      <c r="X25" s="4">
        <v>3.7951388888888889E-2</v>
      </c>
      <c r="Y25" s="1">
        <v>22</v>
      </c>
      <c r="Z25" s="1">
        <v>8</v>
      </c>
      <c r="AA25" s="1">
        <v>30</v>
      </c>
      <c r="AC25" s="1" cm="1">
        <f t="array" ref="AC2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22</v>
      </c>
      <c r="AD25" t="str">
        <v>Alexandra Chuchu</v>
      </c>
      <c r="AE25" s="1">
        <v>33</v>
      </c>
      <c r="AF25" s="4">
        <v>2.7488425925925927E-2</v>
      </c>
      <c r="AG25" s="1">
        <v>8</v>
      </c>
      <c r="AH25" s="1">
        <v>22</v>
      </c>
      <c r="AI25" s="1">
        <v>30</v>
      </c>
      <c r="AK25" s="1" cm="1">
        <f t="array" ref="AK2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22</v>
      </c>
      <c r="AL25" t="str">
        <v>Luke Benfield</v>
      </c>
      <c r="AM25" s="1">
        <v>10</v>
      </c>
      <c r="AN25" s="4" t="str">
        <v>01:12:!2</v>
      </c>
      <c r="AO25" s="1">
        <v>31</v>
      </c>
      <c r="AP25" s="1">
        <v>0</v>
      </c>
      <c r="AQ25" s="1">
        <v>31</v>
      </c>
      <c r="AS25" s="1" t="str" cm="1">
        <f t="array" ref="AS2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5" s="1" t="str" cm="1">
        <f t="array" ref="BA2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6" spans="1:53" x14ac:dyDescent="0.2">
      <c r="A26" s="1" cm="1">
        <f t="array" ref="A2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23</v>
      </c>
      <c r="B26" s="8" t="str">
        <v>Matt Wynn</v>
      </c>
      <c r="C26" s="1">
        <v>149</v>
      </c>
      <c r="E26" s="1" cm="1">
        <f t="array" ref="E2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23</v>
      </c>
      <c r="F26" t="str">
        <v>Harvey Jackson</v>
      </c>
      <c r="G26" s="1">
        <v>27</v>
      </c>
      <c r="H26" s="4">
        <v>2.9039351851851851E-2</v>
      </c>
      <c r="I26" s="1">
        <v>14</v>
      </c>
      <c r="J26" s="1">
        <v>16</v>
      </c>
      <c r="K26" s="1">
        <v>30</v>
      </c>
      <c r="M26" s="1" cm="1">
        <f t="array" ref="M2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22</v>
      </c>
      <c r="N26" t="str">
        <v>Alexandra Chuchu</v>
      </c>
      <c r="O26" s="1">
        <v>32</v>
      </c>
      <c r="P26" s="4">
        <v>2.6111111111111113E-2</v>
      </c>
      <c r="Q26" s="1">
        <v>9</v>
      </c>
      <c r="R26" s="1">
        <v>22</v>
      </c>
      <c r="S26" s="1">
        <v>31</v>
      </c>
      <c r="U26" s="1" cm="1">
        <f t="array" ref="U2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22</v>
      </c>
      <c r="V26" t="str">
        <v>Tom Bagley</v>
      </c>
      <c r="W26" s="1">
        <v>27</v>
      </c>
      <c r="X26" s="4">
        <v>4.1076388888888891E-2</v>
      </c>
      <c r="Y26" s="1">
        <v>14</v>
      </c>
      <c r="Z26" s="1">
        <v>16</v>
      </c>
      <c r="AA26" s="1">
        <v>30</v>
      </c>
      <c r="AC26" s="1" cm="1">
        <f t="array" ref="AC2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22</v>
      </c>
      <c r="AD26" t="str">
        <v>Gareth Edwards</v>
      </c>
      <c r="AE26" s="1">
        <v>19</v>
      </c>
      <c r="AF26" s="4">
        <v>2.480324074074074E-2</v>
      </c>
      <c r="AG26" s="1">
        <v>22</v>
      </c>
      <c r="AH26" s="1">
        <v>8</v>
      </c>
      <c r="AI26" s="1">
        <v>30</v>
      </c>
      <c r="AK26" s="1" cm="1">
        <f t="array" ref="AK2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22</v>
      </c>
      <c r="AL26" t="str">
        <v>Peter King</v>
      </c>
      <c r="AM26" s="1">
        <v>32</v>
      </c>
      <c r="AN26" s="4" t="str">
        <v>01:32:$4</v>
      </c>
      <c r="AO26" s="1">
        <v>9</v>
      </c>
      <c r="AP26" s="1">
        <v>22</v>
      </c>
      <c r="AQ26" s="1">
        <v>31</v>
      </c>
      <c r="AS26" s="1" t="str" cm="1">
        <f t="array" ref="AS2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6" s="1" t="str" cm="1">
        <f t="array" ref="BA26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7" spans="1:53" x14ac:dyDescent="0.2">
      <c r="A27" s="1" cm="1">
        <f t="array" ref="A2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24</v>
      </c>
      <c r="B27" s="8" t="str">
        <v>Paul Davey</v>
      </c>
      <c r="C27" s="1">
        <v>145</v>
      </c>
      <c r="E27" s="1" cm="1">
        <f t="array" ref="E2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23</v>
      </c>
      <c r="F27" t="str">
        <v>Peter King</v>
      </c>
      <c r="G27" s="1">
        <v>33</v>
      </c>
      <c r="H27" s="4">
        <v>3.2476851851851854E-2</v>
      </c>
      <c r="I27" s="1">
        <v>8</v>
      </c>
      <c r="J27" s="1">
        <v>22</v>
      </c>
      <c r="K27" s="1">
        <v>30</v>
      </c>
      <c r="M27" s="1" cm="1">
        <f t="array" ref="M2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22</v>
      </c>
      <c r="N27" t="str">
        <v>Joe Barrett</v>
      </c>
      <c r="O27" s="1">
        <v>10</v>
      </c>
      <c r="P27" s="4">
        <v>2.2314814814814815E-2</v>
      </c>
      <c r="Q27" s="1">
        <v>31</v>
      </c>
      <c r="R27" s="1">
        <v>0</v>
      </c>
      <c r="S27" s="1">
        <v>31</v>
      </c>
      <c r="U27" s="1" cm="1">
        <f t="array" ref="U2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24</v>
      </c>
      <c r="V27" t="str">
        <v>Gareth Edwards</v>
      </c>
      <c r="W27" s="1">
        <v>20</v>
      </c>
      <c r="X27" s="4">
        <v>3.8310185185185183E-2</v>
      </c>
      <c r="Y27" s="1">
        <v>21</v>
      </c>
      <c r="Z27" s="1">
        <v>8</v>
      </c>
      <c r="AA27" s="1">
        <v>29</v>
      </c>
      <c r="AC27" s="1" cm="1">
        <f t="array" ref="AC2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24</v>
      </c>
      <c r="AD27" t="str">
        <v>Luke Benfield</v>
      </c>
      <c r="AE27" s="1">
        <v>12</v>
      </c>
      <c r="AF27" s="4">
        <v>2.4097222222222221E-2</v>
      </c>
      <c r="AG27" s="1">
        <v>29</v>
      </c>
      <c r="AH27" s="1">
        <v>0</v>
      </c>
      <c r="AI27" s="1">
        <v>29</v>
      </c>
      <c r="AK27" s="1" cm="1">
        <f t="array" ref="AK2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24</v>
      </c>
      <c r="AL27" t="str">
        <v>David Griffiths</v>
      </c>
      <c r="AM27" s="1">
        <v>19</v>
      </c>
      <c r="AN27" s="4">
        <v>5.4340277777777779E-2</v>
      </c>
      <c r="AO27" s="1">
        <v>22</v>
      </c>
      <c r="AP27" s="1">
        <v>8</v>
      </c>
      <c r="AQ27" s="1">
        <v>30</v>
      </c>
      <c r="AS27" s="1" t="str" cm="1">
        <f t="array" ref="AS2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7" s="1" t="str" cm="1">
        <f t="array" ref="BA27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8" spans="1:53" x14ac:dyDescent="0.2">
      <c r="A28" s="1" cm="1">
        <f t="array" ref="A2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25</v>
      </c>
      <c r="B28" s="8" t="str">
        <v>Peter King</v>
      </c>
      <c r="C28" s="1">
        <v>144</v>
      </c>
      <c r="E28" s="1" cm="1">
        <f t="array" ref="E2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23</v>
      </c>
      <c r="F28" t="str">
        <v>Simon White</v>
      </c>
      <c r="G28" s="1">
        <v>19</v>
      </c>
      <c r="H28" s="4">
        <v>2.75E-2</v>
      </c>
      <c r="I28" s="1">
        <v>22</v>
      </c>
      <c r="J28" s="1">
        <v>8</v>
      </c>
      <c r="K28" s="1">
        <v>30</v>
      </c>
      <c r="M28" s="1" cm="1">
        <f t="array" ref="M2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25</v>
      </c>
      <c r="N28" t="str">
        <v>Phoebe Macwhinnie</v>
      </c>
      <c r="O28" s="1">
        <v>33</v>
      </c>
      <c r="P28" s="4">
        <v>2.6168981481481481E-2</v>
      </c>
      <c r="Q28" s="1">
        <v>8</v>
      </c>
      <c r="R28" s="1">
        <v>22</v>
      </c>
      <c r="S28" s="1">
        <v>30</v>
      </c>
      <c r="U28" s="1" cm="1">
        <f t="array" ref="U2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24</v>
      </c>
      <c r="V28" t="str">
        <v>Luke Benfield</v>
      </c>
      <c r="W28" s="1">
        <v>12</v>
      </c>
      <c r="X28" s="4">
        <v>3.6770833333333336E-2</v>
      </c>
      <c r="Y28" s="1">
        <v>29</v>
      </c>
      <c r="Z28" s="1">
        <v>0</v>
      </c>
      <c r="AA28" s="1">
        <v>29</v>
      </c>
      <c r="AC28" s="1" cm="1">
        <f t="array" ref="AC2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24</v>
      </c>
      <c r="AD28" t="str">
        <v xml:space="preserve">Nick Dumonde </v>
      </c>
      <c r="AE28" s="1">
        <v>20</v>
      </c>
      <c r="AF28" s="4">
        <v>2.4814814814814814E-2</v>
      </c>
      <c r="AG28" s="1">
        <v>21</v>
      </c>
      <c r="AH28" s="1">
        <v>8</v>
      </c>
      <c r="AI28" s="1">
        <v>29</v>
      </c>
      <c r="AK28" s="1" cm="1">
        <f t="array" ref="AK2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24</v>
      </c>
      <c r="AL28" t="str">
        <v>Jonny Vaux</v>
      </c>
      <c r="AM28" s="1">
        <v>33</v>
      </c>
      <c r="AN28" s="4" t="str">
        <v>01:39:!6</v>
      </c>
      <c r="AO28" s="1">
        <v>8</v>
      </c>
      <c r="AP28" s="1">
        <v>22</v>
      </c>
      <c r="AQ28" s="1">
        <v>30</v>
      </c>
      <c r="AS28" s="1" t="str" cm="1">
        <f t="array" ref="AS2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8" s="1" t="str" cm="1">
        <f t="array" ref="BA28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9" spans="1:53" x14ac:dyDescent="0.2">
      <c r="A29" s="1" cm="1">
        <f t="array" ref="A2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26</v>
      </c>
      <c r="B29" s="8" t="str">
        <v>Gareth Edwards</v>
      </c>
      <c r="C29" s="1">
        <v>141</v>
      </c>
      <c r="E29" s="1" cm="1">
        <f t="array" ref="E2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26</v>
      </c>
      <c r="F29" t="str">
        <v>Patricia Villar</v>
      </c>
      <c r="G29" s="1">
        <v>34</v>
      </c>
      <c r="H29" s="4">
        <v>3.2766203703703707E-2</v>
      </c>
      <c r="I29" s="1">
        <v>7</v>
      </c>
      <c r="J29" s="1">
        <v>22</v>
      </c>
      <c r="K29" s="1">
        <v>29</v>
      </c>
      <c r="M29" s="1" cm="1">
        <f t="array" ref="M2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26</v>
      </c>
      <c r="N29" t="str">
        <v>Patricia Villar</v>
      </c>
      <c r="O29" s="1">
        <v>34</v>
      </c>
      <c r="P29" s="4">
        <v>2.6226851851851852E-2</v>
      </c>
      <c r="Q29" s="1">
        <v>7</v>
      </c>
      <c r="R29" s="1">
        <v>22</v>
      </c>
      <c r="S29" s="1">
        <v>29</v>
      </c>
      <c r="U29" s="1" cm="1">
        <f t="array" ref="U2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24</v>
      </c>
      <c r="V29" t="str">
        <v>Peter King</v>
      </c>
      <c r="W29" s="1">
        <v>34</v>
      </c>
      <c r="X29" s="4">
        <v>5.1770833333333335E-2</v>
      </c>
      <c r="Y29" s="1">
        <v>7</v>
      </c>
      <c r="Z29" s="1">
        <v>22</v>
      </c>
      <c r="AA29" s="1">
        <v>29</v>
      </c>
      <c r="AC29" s="1" cm="1">
        <f t="array" ref="AC2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24</v>
      </c>
      <c r="AD29" t="str">
        <v>Patricia Villar</v>
      </c>
      <c r="AE29" s="1">
        <v>34</v>
      </c>
      <c r="AF29" s="4">
        <v>2.8078703703703703E-2</v>
      </c>
      <c r="AG29" s="1">
        <v>7</v>
      </c>
      <c r="AH29" s="1">
        <v>22</v>
      </c>
      <c r="AI29" s="1">
        <v>29</v>
      </c>
      <c r="AK29" s="1" cm="1">
        <f t="array" ref="AK2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24</v>
      </c>
      <c r="AL29" t="str">
        <v>Funking Baxter</v>
      </c>
      <c r="AM29" s="1">
        <v>34</v>
      </c>
      <c r="AN29" s="4">
        <v>7.8425925925925927E-2</v>
      </c>
      <c r="AO29" s="1">
        <v>7</v>
      </c>
      <c r="AP29" s="1">
        <v>22</v>
      </c>
      <c r="AQ29" s="1">
        <v>29</v>
      </c>
      <c r="AS29" s="1" t="str" cm="1">
        <f t="array" ref="AS2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9" s="1" t="str" cm="1">
        <f t="array" ref="BA29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0" spans="1:53" x14ac:dyDescent="0.2">
      <c r="A30" s="1" cm="1">
        <f t="array" ref="A3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27</v>
      </c>
      <c r="B30" s="8" t="str">
        <v>David Goddard</v>
      </c>
      <c r="C30" s="1">
        <v>140</v>
      </c>
      <c r="E30" s="1" cm="1">
        <f t="array" ref="E3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26</v>
      </c>
      <c r="F30" t="str">
        <v>Richard Harrison</v>
      </c>
      <c r="G30" s="1">
        <v>20</v>
      </c>
      <c r="H30" s="4">
        <v>2.7581018518518519E-2</v>
      </c>
      <c r="I30" s="1">
        <v>21</v>
      </c>
      <c r="J30" s="1">
        <v>8</v>
      </c>
      <c r="K30" s="1">
        <v>29</v>
      </c>
      <c r="M30" s="1" cm="1">
        <f t="array" ref="M3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26</v>
      </c>
      <c r="N30" t="str">
        <v>Paul Davey</v>
      </c>
      <c r="O30" s="1">
        <v>12</v>
      </c>
      <c r="P30" s="4">
        <v>2.2511574074074073E-2</v>
      </c>
      <c r="Q30" s="1">
        <v>29</v>
      </c>
      <c r="R30" s="1">
        <v>0</v>
      </c>
      <c r="S30" s="1">
        <v>29</v>
      </c>
      <c r="U30" s="1" cm="1">
        <f t="array" ref="U3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27</v>
      </c>
      <c r="V30" t="str">
        <v>Funking Baxter</v>
      </c>
      <c r="W30" s="1">
        <v>35</v>
      </c>
      <c r="X30" s="4">
        <v>6.039351851851852E-2</v>
      </c>
      <c r="Y30" s="1">
        <v>6</v>
      </c>
      <c r="Z30" s="1">
        <v>22</v>
      </c>
      <c r="AA30" s="1">
        <v>28</v>
      </c>
      <c r="AC30" s="1" cm="1">
        <f t="array" ref="AC3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27</v>
      </c>
      <c r="AD30" t="str">
        <v>Funking Baxter</v>
      </c>
      <c r="AE30" s="1">
        <v>35</v>
      </c>
      <c r="AF30" s="4">
        <v>3.1631944444444442E-2</v>
      </c>
      <c r="AG30" s="1">
        <v>6</v>
      </c>
      <c r="AH30" s="1">
        <v>22</v>
      </c>
      <c r="AI30" s="1">
        <v>28</v>
      </c>
      <c r="AK30" s="1" cm="1">
        <f t="array" ref="AK3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27</v>
      </c>
      <c r="AL30" t="str">
        <v>Paul Davey</v>
      </c>
      <c r="AM30" s="1">
        <v>12</v>
      </c>
      <c r="AN30" s="4">
        <v>5.1018518518518519E-2</v>
      </c>
      <c r="AO30" s="1">
        <v>29</v>
      </c>
      <c r="AP30" s="1">
        <v>0</v>
      </c>
      <c r="AQ30" s="1">
        <v>29</v>
      </c>
      <c r="AS30" s="1" t="str" cm="1">
        <f t="array" ref="AS3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0" s="1" t="str" cm="1">
        <f t="array" ref="BA30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1" spans="1:53" x14ac:dyDescent="0.2">
      <c r="A31" s="1" cm="1">
        <f t="array" ref="A3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27</v>
      </c>
      <c r="B31" s="8" t="str">
        <v>Justin Goold</v>
      </c>
      <c r="C31" s="1">
        <v>140</v>
      </c>
      <c r="E31" s="1" cm="1">
        <f t="array" ref="E3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28</v>
      </c>
      <c r="F31" t="str">
        <v>Jeremy Sharpe</v>
      </c>
      <c r="G31" s="1">
        <v>21</v>
      </c>
      <c r="H31" s="4">
        <v>2.7650462962962963E-2</v>
      </c>
      <c r="I31" s="1">
        <v>20</v>
      </c>
      <c r="J31" s="1">
        <v>8</v>
      </c>
      <c r="K31" s="1">
        <v>28</v>
      </c>
      <c r="M31" s="1" cm="1">
        <f t="array" ref="M3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28</v>
      </c>
      <c r="N31" t="str">
        <v>Gareth Edwards</v>
      </c>
      <c r="O31" s="1">
        <v>21</v>
      </c>
      <c r="P31" s="4">
        <v>2.3715277777777776E-2</v>
      </c>
      <c r="Q31" s="1">
        <v>20</v>
      </c>
      <c r="R31" s="1">
        <v>8</v>
      </c>
      <c r="S31" s="1">
        <v>28</v>
      </c>
      <c r="U31" s="1" cm="1">
        <f t="array" ref="U3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27</v>
      </c>
      <c r="V31" t="str">
        <v>Richard Harrison</v>
      </c>
      <c r="W31" s="1">
        <v>21</v>
      </c>
      <c r="X31" s="4">
        <v>3.8680555555555558E-2</v>
      </c>
      <c r="Y31" s="1">
        <v>20</v>
      </c>
      <c r="Z31" s="1">
        <v>8</v>
      </c>
      <c r="AA31" s="1">
        <v>28</v>
      </c>
      <c r="AC31" s="1" cm="1">
        <f t="array" ref="AC3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27</v>
      </c>
      <c r="AD31" t="str">
        <v>Mark Presland</v>
      </c>
      <c r="AE31" s="1">
        <v>13</v>
      </c>
      <c r="AF31" s="4">
        <v>2.4108796296296295E-2</v>
      </c>
      <c r="AG31" s="1">
        <v>28</v>
      </c>
      <c r="AH31" s="1">
        <v>0</v>
      </c>
      <c r="AI31" s="1">
        <v>28</v>
      </c>
      <c r="AK31" s="1" cm="1">
        <f t="array" ref="AK3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27</v>
      </c>
      <c r="AL31" t="str">
        <v>Rob Cherry</v>
      </c>
      <c r="AM31" s="1">
        <v>21</v>
      </c>
      <c r="AN31" s="4">
        <v>5.5E-2</v>
      </c>
      <c r="AO31" s="1">
        <v>20</v>
      </c>
      <c r="AP31" s="1">
        <v>8</v>
      </c>
      <c r="AQ31" s="1">
        <v>28</v>
      </c>
      <c r="AS31" s="1" t="str" cm="1">
        <f t="array" ref="AS3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1" s="1" t="str" cm="1">
        <f t="array" ref="BA31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2" spans="1:53" x14ac:dyDescent="0.2">
      <c r="A32" s="1" cm="1">
        <f t="array" ref="A3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29</v>
      </c>
      <c r="B32" s="8" t="str">
        <v>Funking Baxter</v>
      </c>
      <c r="C32" s="1">
        <v>138</v>
      </c>
      <c r="E32" s="1" cm="1">
        <f t="array" ref="E3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28</v>
      </c>
      <c r="F32" t="str">
        <v>Phoebe Macwhinnie</v>
      </c>
      <c r="G32" s="1">
        <v>35</v>
      </c>
      <c r="H32" s="4">
        <v>3.3101851851851855E-2</v>
      </c>
      <c r="I32" s="1">
        <v>6</v>
      </c>
      <c r="J32" s="1">
        <v>22</v>
      </c>
      <c r="K32" s="1">
        <v>28</v>
      </c>
      <c r="M32" s="1" cm="1">
        <f t="array" ref="M3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28</v>
      </c>
      <c r="N32" t="str">
        <v>Jonny Vaux</v>
      </c>
      <c r="O32" s="1">
        <v>35</v>
      </c>
      <c r="P32" s="4">
        <v>2.7997685185185184E-2</v>
      </c>
      <c r="Q32" s="1">
        <v>6</v>
      </c>
      <c r="R32" s="1">
        <v>22</v>
      </c>
      <c r="S32" s="1">
        <v>28</v>
      </c>
      <c r="U32" s="1" cm="1">
        <f t="array" ref="U3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29</v>
      </c>
      <c r="V32" t="str">
        <v>David Goddard</v>
      </c>
      <c r="W32" s="1">
        <v>14</v>
      </c>
      <c r="X32" s="4">
        <v>3.7465277777777778E-2</v>
      </c>
      <c r="Y32" s="1">
        <v>27</v>
      </c>
      <c r="Z32" s="1">
        <v>0</v>
      </c>
      <c r="AA32" s="1">
        <v>27</v>
      </c>
      <c r="AC32" s="1" cm="1">
        <f t="array" ref="AC3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27</v>
      </c>
      <c r="AD32" t="str">
        <v>Simon White</v>
      </c>
      <c r="AE32" s="1">
        <v>21</v>
      </c>
      <c r="AF32" s="4">
        <v>2.5289351851851851E-2</v>
      </c>
      <c r="AG32" s="1">
        <v>20</v>
      </c>
      <c r="AH32" s="1">
        <v>8</v>
      </c>
      <c r="AI32" s="1">
        <v>28</v>
      </c>
      <c r="AK32" s="1" cm="1">
        <f t="array" ref="AK3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27</v>
      </c>
      <c r="AL32" t="str">
        <v>Harvey Jackson</v>
      </c>
      <c r="AM32" s="1">
        <v>30</v>
      </c>
      <c r="AN32" s="4">
        <v>6.0740740740740741E-2</v>
      </c>
      <c r="AO32" s="1">
        <v>11</v>
      </c>
      <c r="AP32" s="1">
        <v>16</v>
      </c>
      <c r="AQ32" s="1">
        <v>27</v>
      </c>
      <c r="AS32" s="1" t="str" cm="1">
        <f t="array" ref="AS3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2" s="1" t="str" cm="1">
        <f t="array" ref="BA32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3" spans="1:53" x14ac:dyDescent="0.2">
      <c r="A33" s="1" cm="1">
        <f t="array" ref="A3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30</v>
      </c>
      <c r="B33" s="8" t="str">
        <v>Mark Presland</v>
      </c>
      <c r="C33" s="1">
        <v>134</v>
      </c>
      <c r="E33" s="1" cm="1">
        <f t="array" ref="E3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30</v>
      </c>
      <c r="F33" t="str">
        <v>Funking Baxter</v>
      </c>
      <c r="G33" s="1">
        <v>36</v>
      </c>
      <c r="H33" s="4">
        <v>3.6006944444444446E-2</v>
      </c>
      <c r="I33" s="1">
        <v>5</v>
      </c>
      <c r="J33" s="1">
        <v>22</v>
      </c>
      <c r="K33" s="1">
        <v>27</v>
      </c>
      <c r="M33" s="1" cm="1">
        <f t="array" ref="M3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30</v>
      </c>
      <c r="N33" t="str">
        <v>Harvey Jackson</v>
      </c>
      <c r="O33" s="1">
        <v>30</v>
      </c>
      <c r="P33" s="4">
        <v>2.5532407407407406E-2</v>
      </c>
      <c r="Q33" s="1">
        <v>11</v>
      </c>
      <c r="R33" s="1">
        <v>16</v>
      </c>
      <c r="S33" s="1">
        <v>27</v>
      </c>
      <c r="U33" s="1" cm="1">
        <f t="array" ref="U3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29</v>
      </c>
      <c r="V33" t="str">
        <v>Harvey Jackson</v>
      </c>
      <c r="W33" s="1">
        <v>30</v>
      </c>
      <c r="X33" s="4">
        <v>4.3344907407407408E-2</v>
      </c>
      <c r="Y33" s="1">
        <v>11</v>
      </c>
      <c r="Z33" s="1">
        <v>16</v>
      </c>
      <c r="AA33" s="1">
        <v>27</v>
      </c>
      <c r="AC33" s="1" cm="1">
        <f t="array" ref="AC3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27</v>
      </c>
      <c r="AD33" t="str">
        <v>Tom Bagley</v>
      </c>
      <c r="AE33" s="1">
        <v>29</v>
      </c>
      <c r="AF33" s="4">
        <v>2.6805555555555555E-2</v>
      </c>
      <c r="AG33" s="1">
        <v>12</v>
      </c>
      <c r="AH33" s="1">
        <v>16</v>
      </c>
      <c r="AI33" s="1">
        <v>28</v>
      </c>
      <c r="AK33" s="1" cm="1">
        <f t="array" ref="AK3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27</v>
      </c>
      <c r="AL33" t="str">
        <v>Alan Grant</v>
      </c>
      <c r="AM33" s="1">
        <v>15</v>
      </c>
      <c r="AN33" s="4">
        <v>5.2210648148148145E-2</v>
      </c>
      <c r="AO33" s="1">
        <v>26</v>
      </c>
      <c r="AP33" s="1">
        <v>0</v>
      </c>
      <c r="AQ33" s="1">
        <v>26</v>
      </c>
      <c r="AS33" s="1" t="str" cm="1">
        <f t="array" ref="AS3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3" s="1" t="str" cm="1">
        <f t="array" ref="BA33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4" spans="1:53" x14ac:dyDescent="0.2">
      <c r="A34" s="1" cm="1">
        <f t="array" ref="A3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31</v>
      </c>
      <c r="B34" s="8" t="str">
        <v>Alan Grant</v>
      </c>
      <c r="C34" s="1">
        <v>131</v>
      </c>
      <c r="E34" s="1" cm="1">
        <f t="array" ref="E3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31</v>
      </c>
      <c r="F34" t="str">
        <v>David Goddard</v>
      </c>
      <c r="G34" s="1">
        <v>15</v>
      </c>
      <c r="H34" s="4">
        <v>2.6828703703703705E-2</v>
      </c>
      <c r="I34" s="1">
        <v>26</v>
      </c>
      <c r="J34" s="1">
        <v>0</v>
      </c>
      <c r="K34" s="1">
        <v>26</v>
      </c>
      <c r="M34" s="1" cm="1">
        <f t="array" ref="M3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30</v>
      </c>
      <c r="N34" t="str">
        <v>Peter King</v>
      </c>
      <c r="O34" s="1">
        <v>36</v>
      </c>
      <c r="P34" s="4">
        <v>2.8680555555555556E-2</v>
      </c>
      <c r="Q34" s="1">
        <v>5</v>
      </c>
      <c r="R34" s="1">
        <v>22</v>
      </c>
      <c r="S34" s="1">
        <v>27</v>
      </c>
      <c r="U34" s="1" cm="1">
        <f t="array" ref="U3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31</v>
      </c>
      <c r="V34" t="str">
        <v>Paul Davey</v>
      </c>
      <c r="W34" s="1">
        <v>15</v>
      </c>
      <c r="X34" s="4">
        <v>3.7499999999999999E-2</v>
      </c>
      <c r="Y34" s="1">
        <v>26</v>
      </c>
      <c r="Z34" s="1">
        <v>0</v>
      </c>
      <c r="AA34" s="1">
        <v>26</v>
      </c>
      <c r="AC34" s="1" cm="1">
        <f t="array" ref="AC3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31</v>
      </c>
      <c r="AD34" t="str">
        <v>Matt Wynn</v>
      </c>
      <c r="AE34" s="1">
        <v>30</v>
      </c>
      <c r="AF34" s="4">
        <v>2.6898148148148147E-2</v>
      </c>
      <c r="AG34" s="1">
        <v>11</v>
      </c>
      <c r="AH34" s="1">
        <v>16</v>
      </c>
      <c r="AI34" s="1">
        <v>27</v>
      </c>
      <c r="AK34" s="1" cm="1">
        <f t="array" ref="AK3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31</v>
      </c>
      <c r="AL34" t="str">
        <v>Richard Harrison</v>
      </c>
      <c r="AM34" s="1">
        <v>24</v>
      </c>
      <c r="AN34" s="4">
        <v>5.5972222222222222E-2</v>
      </c>
      <c r="AO34" s="1">
        <v>17</v>
      </c>
      <c r="AP34" s="1">
        <v>8</v>
      </c>
      <c r="AQ34" s="1">
        <v>25</v>
      </c>
      <c r="AS34" s="1" t="str" cm="1">
        <f t="array" ref="AS3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4" s="1" t="str" cm="1">
        <f t="array" ref="BA3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5" spans="1:53" x14ac:dyDescent="0.2">
      <c r="A35" s="1" cm="1">
        <f t="array" ref="A3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32</v>
      </c>
      <c r="B35" s="8" t="str">
        <v>Richard Harrison</v>
      </c>
      <c r="C35" s="1">
        <v>129</v>
      </c>
      <c r="E35" s="1" cm="1">
        <f t="array" ref="E3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31</v>
      </c>
      <c r="F35" t="str">
        <v>Matt Wynn</v>
      </c>
      <c r="G35" s="1">
        <v>31</v>
      </c>
      <c r="H35" s="4">
        <v>3.0601851851851852E-2</v>
      </c>
      <c r="I35" s="1">
        <v>10</v>
      </c>
      <c r="J35" s="1">
        <v>16</v>
      </c>
      <c r="K35" s="1">
        <v>26</v>
      </c>
      <c r="M35" s="1" cm="1">
        <f t="array" ref="M3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32</v>
      </c>
      <c r="N35" t="str">
        <v>Funking Baxter</v>
      </c>
      <c r="O35" s="1">
        <v>37</v>
      </c>
      <c r="P35" s="4">
        <v>3.2060185185185185E-2</v>
      </c>
      <c r="Q35" s="1">
        <v>4</v>
      </c>
      <c r="R35" s="1">
        <v>22</v>
      </c>
      <c r="S35" s="1">
        <v>26</v>
      </c>
      <c r="U35" s="1" cm="1">
        <f t="array" ref="U3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31</v>
      </c>
      <c r="V35" t="str">
        <v>Rob Cherry</v>
      </c>
      <c r="W35" s="1">
        <v>23</v>
      </c>
      <c r="X35" s="4">
        <v>3.9108796296296294E-2</v>
      </c>
      <c r="Y35" s="1">
        <v>18</v>
      </c>
      <c r="Z35" s="1">
        <v>8</v>
      </c>
      <c r="AA35" s="1">
        <v>26</v>
      </c>
      <c r="AC35" s="1" cm="1">
        <f t="array" ref="AC3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31</v>
      </c>
      <c r="AD35" t="str">
        <v>Peter King</v>
      </c>
      <c r="AE35" s="1">
        <v>36</v>
      </c>
      <c r="AF35" s="4">
        <v>3.2870370370370369E-2</v>
      </c>
      <c r="AG35" s="1">
        <v>5</v>
      </c>
      <c r="AH35" s="1">
        <v>22</v>
      </c>
      <c r="AI35" s="1">
        <v>27</v>
      </c>
      <c r="AK35" s="1" cm="1">
        <f t="array" ref="AK3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31</v>
      </c>
      <c r="AL35" t="str">
        <v>Chris Croft</v>
      </c>
      <c r="AM35" s="1">
        <v>26</v>
      </c>
      <c r="AN35" s="4">
        <v>5.7847222222222223E-2</v>
      </c>
      <c r="AO35" s="1">
        <v>15</v>
      </c>
      <c r="AP35" s="1">
        <v>8</v>
      </c>
      <c r="AQ35" s="1">
        <v>23</v>
      </c>
      <c r="AS35" s="1" t="str" cm="1">
        <f t="array" ref="AS3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5" s="1" t="str" cm="1">
        <f t="array" ref="BA3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6" spans="1:53" x14ac:dyDescent="0.2">
      <c r="A36" s="1" cm="1">
        <f t="array" ref="A3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33</v>
      </c>
      <c r="B36" s="8" t="str">
        <v>Jonny Vaux</v>
      </c>
      <c r="C36" s="1">
        <v>128</v>
      </c>
      <c r="E36" s="1" cm="1">
        <f t="array" ref="E3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33</v>
      </c>
      <c r="F36" t="str">
        <v>Mark Stancombe</v>
      </c>
      <c r="G36" s="1">
        <v>32</v>
      </c>
      <c r="H36" s="4">
        <v>3.152777777777778E-2</v>
      </c>
      <c r="I36" s="1">
        <v>9</v>
      </c>
      <c r="J36" s="1">
        <v>16</v>
      </c>
      <c r="K36" s="1">
        <v>25</v>
      </c>
      <c r="M36" s="1" cm="1">
        <f t="array" ref="M3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32</v>
      </c>
      <c r="N36" t="str">
        <v>Mark Stancombe</v>
      </c>
      <c r="O36" s="1">
        <v>31</v>
      </c>
      <c r="P36" s="4">
        <v>2.6053240740740741E-2</v>
      </c>
      <c r="Q36" s="1">
        <v>10</v>
      </c>
      <c r="R36" s="1">
        <v>16</v>
      </c>
      <c r="S36" s="1">
        <v>26</v>
      </c>
      <c r="U36" s="1" cm="1">
        <f t="array" ref="U3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33</v>
      </c>
      <c r="V36" t="str">
        <v>David Griffiths</v>
      </c>
      <c r="W36" s="1">
        <v>25</v>
      </c>
      <c r="X36" s="4">
        <v>3.9849537037037037E-2</v>
      </c>
      <c r="Y36" s="1">
        <v>16</v>
      </c>
      <c r="Z36" s="1">
        <v>8</v>
      </c>
      <c r="AA36" s="1">
        <v>24</v>
      </c>
      <c r="AC36" s="1" cm="1">
        <f t="array" ref="AC3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33</v>
      </c>
      <c r="AD36" t="str">
        <v>Justin Goold</v>
      </c>
      <c r="AE36" s="1">
        <v>24</v>
      </c>
      <c r="AF36" s="4">
        <v>2.6030092592592594E-2</v>
      </c>
      <c r="AG36" s="1">
        <v>17</v>
      </c>
      <c r="AH36" s="1">
        <v>8</v>
      </c>
      <c r="AI36" s="1">
        <v>25</v>
      </c>
      <c r="AK36" s="1" cm="1">
        <f t="array" ref="AK3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33</v>
      </c>
      <c r="AL36" t="str">
        <v>Gareth Edwards</v>
      </c>
      <c r="AM36" s="1">
        <v>27</v>
      </c>
      <c r="AN36" s="4">
        <v>5.9502314814814813E-2</v>
      </c>
      <c r="AO36" s="1">
        <v>14</v>
      </c>
      <c r="AP36" s="1">
        <v>8</v>
      </c>
      <c r="AQ36" s="1">
        <v>22</v>
      </c>
      <c r="AS36" s="1" t="str" cm="1">
        <f t="array" ref="AS3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6" s="1" t="str" cm="1">
        <f t="array" ref="BA36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7" spans="1:53" x14ac:dyDescent="0.2">
      <c r="A37" s="1" cm="1">
        <f t="array" ref="A3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34</v>
      </c>
      <c r="B37" s="8" t="str">
        <v>Harvey Jackson</v>
      </c>
      <c r="C37" s="1">
        <v>127</v>
      </c>
      <c r="E37" s="1" cm="1">
        <f t="array" ref="E3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33</v>
      </c>
      <c r="F37" t="str">
        <v>Paul Davey</v>
      </c>
      <c r="G37" s="1">
        <v>16</v>
      </c>
      <c r="H37" s="4">
        <v>2.6863425925925926E-2</v>
      </c>
      <c r="I37" s="1">
        <v>25</v>
      </c>
      <c r="J37" s="1">
        <v>0</v>
      </c>
      <c r="K37" s="1">
        <v>25</v>
      </c>
      <c r="M37" s="1" cm="1">
        <f t="array" ref="M3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32</v>
      </c>
      <c r="N37" t="str">
        <v>Richard Harrison</v>
      </c>
      <c r="O37" s="1">
        <v>23</v>
      </c>
      <c r="P37" s="4">
        <v>2.4270833333333332E-2</v>
      </c>
      <c r="Q37" s="1">
        <v>18</v>
      </c>
      <c r="R37" s="1">
        <v>8</v>
      </c>
      <c r="S37" s="1">
        <v>26</v>
      </c>
      <c r="U37" s="1" cm="1">
        <f t="array" ref="U3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34</v>
      </c>
      <c r="V37" t="str">
        <v>Jonny Vaux</v>
      </c>
      <c r="W37" s="1">
        <v>40</v>
      </c>
      <c r="X37" s="4">
        <v>6.2476851851851853E-2</v>
      </c>
      <c r="Y37" s="1">
        <v>1</v>
      </c>
      <c r="Z37" s="1">
        <v>22</v>
      </c>
      <c r="AA37" s="1">
        <v>23</v>
      </c>
      <c r="AC37" s="1" cm="1">
        <f t="array" ref="AC3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34</v>
      </c>
      <c r="AD37" t="str">
        <v>Jonny Vaux</v>
      </c>
      <c r="AE37" s="1">
        <v>40</v>
      </c>
      <c r="AF37" s="4">
        <v>3.4953703703703702E-2</v>
      </c>
      <c r="AG37" s="1">
        <v>1</v>
      </c>
      <c r="AH37" s="1">
        <v>22</v>
      </c>
      <c r="AI37" s="1">
        <v>23</v>
      </c>
      <c r="AK37" s="1" cm="1">
        <f t="array" ref="AK3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34</v>
      </c>
      <c r="AL37" t="str">
        <v>David Goddard</v>
      </c>
      <c r="AM37" s="1">
        <v>20</v>
      </c>
      <c r="AN37" s="4">
        <v>5.4386574074074073E-2</v>
      </c>
      <c r="AO37" s="1">
        <v>21</v>
      </c>
      <c r="AP37" s="1">
        <v>0</v>
      </c>
      <c r="AQ37" s="1">
        <v>21</v>
      </c>
      <c r="AS37" s="1" t="str" cm="1">
        <f t="array" ref="AS3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7" s="1" t="str" cm="1">
        <f t="array" ref="BA37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8" spans="1:53" x14ac:dyDescent="0.2">
      <c r="A38" s="1" cm="1">
        <f t="array" ref="A3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35</v>
      </c>
      <c r="B38" s="8" t="str">
        <v>Mark Stancombe</v>
      </c>
      <c r="C38" s="1">
        <v>119</v>
      </c>
      <c r="E38" s="1" cm="1">
        <f t="array" ref="E3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35</v>
      </c>
      <c r="F38" t="str">
        <v>Chris Croft</v>
      </c>
      <c r="G38" s="1">
        <v>25</v>
      </c>
      <c r="H38" s="4">
        <v>2.8854166666666667E-2</v>
      </c>
      <c r="I38" s="1">
        <v>16</v>
      </c>
      <c r="J38" s="1">
        <v>8</v>
      </c>
      <c r="K38" s="1">
        <v>24</v>
      </c>
      <c r="M38" s="1" cm="1">
        <f t="array" ref="M3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35</v>
      </c>
      <c r="N38" t="str">
        <v>Chris Croft</v>
      </c>
      <c r="O38" s="1">
        <v>26</v>
      </c>
      <c r="P38" s="4">
        <v>2.5023148148148149E-2</v>
      </c>
      <c r="Q38" s="1">
        <v>15</v>
      </c>
      <c r="R38" s="1">
        <v>8</v>
      </c>
      <c r="S38" s="1">
        <v>23</v>
      </c>
      <c r="U38" s="1" cm="1">
        <f t="array" ref="U3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35</v>
      </c>
      <c r="V38" t="str">
        <v>Alessandra Scaduto</v>
      </c>
      <c r="W38" s="1">
        <v>29</v>
      </c>
      <c r="X38" s="4">
        <v>4.2418981481481481E-2</v>
      </c>
      <c r="Y38" s="1">
        <v>0</v>
      </c>
      <c r="Z38" s="1">
        <v>22</v>
      </c>
      <c r="AA38" s="1">
        <v>22</v>
      </c>
      <c r="AC38" s="1" cm="1">
        <f t="array" ref="AC3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35</v>
      </c>
      <c r="AD38" t="str">
        <v>Chris Croft</v>
      </c>
      <c r="AE38" s="1">
        <v>27</v>
      </c>
      <c r="AF38" s="4">
        <v>2.6377314814814815E-2</v>
      </c>
      <c r="AG38" s="1">
        <v>14</v>
      </c>
      <c r="AH38" s="1">
        <v>8</v>
      </c>
      <c r="AI38" s="1">
        <v>22</v>
      </c>
      <c r="AK38" s="1" cm="1">
        <f t="array" ref="AK3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35</v>
      </c>
      <c r="AL38" t="str">
        <v>Martyn Hopping</v>
      </c>
      <c r="AM38" s="1">
        <v>38</v>
      </c>
      <c r="AN38" s="4">
        <v>8.0509259259259253E-2</v>
      </c>
      <c r="AO38" s="1">
        <v>3</v>
      </c>
      <c r="AP38" s="1">
        <v>16</v>
      </c>
      <c r="AQ38" s="1">
        <v>19</v>
      </c>
      <c r="AS38" s="1" t="str" cm="1">
        <f t="array" ref="AS3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8" s="1" t="str" cm="1">
        <f t="array" ref="BA38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9" spans="1:53" x14ac:dyDescent="0.2">
      <c r="A39" s="1" cm="1">
        <f t="array" ref="A3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36</v>
      </c>
      <c r="B39" s="8" t="str">
        <v>Chris Croft</v>
      </c>
      <c r="C39" s="1">
        <v>113</v>
      </c>
      <c r="E39" s="1" cm="1">
        <f t="array" ref="E3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35</v>
      </c>
      <c r="F39" t="str">
        <v>Jonny Vaux</v>
      </c>
      <c r="G39" s="1">
        <v>39</v>
      </c>
      <c r="H39" s="4">
        <v>3.8090277777777778E-2</v>
      </c>
      <c r="I39" s="1">
        <v>2</v>
      </c>
      <c r="J39" s="1">
        <v>22</v>
      </c>
      <c r="K39" s="1">
        <v>24</v>
      </c>
      <c r="M39" s="1" cm="1">
        <f t="array" ref="M3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36</v>
      </c>
      <c r="N39" t="str">
        <v xml:space="preserve">Adam Currie </v>
      </c>
      <c r="O39" s="1">
        <v>20</v>
      </c>
      <c r="P39" s="4">
        <v>2.3368055555555555E-2</v>
      </c>
      <c r="Q39" s="1">
        <v>21</v>
      </c>
      <c r="R39" s="1">
        <v>0</v>
      </c>
      <c r="S39" s="1">
        <v>21</v>
      </c>
      <c r="U39" s="1" cm="1">
        <f t="array" ref="U3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36</v>
      </c>
      <c r="V39" t="str">
        <v>Chris Croft</v>
      </c>
      <c r="W39" s="1">
        <v>28</v>
      </c>
      <c r="X39" s="4">
        <v>4.1180555555555554E-2</v>
      </c>
      <c r="Y39" s="1">
        <v>13</v>
      </c>
      <c r="Z39" s="1">
        <v>8</v>
      </c>
      <c r="AA39" s="1">
        <v>21</v>
      </c>
      <c r="AC39" s="1" cm="1">
        <f t="array" ref="AC3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36</v>
      </c>
      <c r="AD39" t="str">
        <v>Richard Harrison</v>
      </c>
      <c r="AE39" s="1">
        <v>28</v>
      </c>
      <c r="AF39" s="4">
        <v>2.6458333333333334E-2</v>
      </c>
      <c r="AG39" s="1">
        <v>13</v>
      </c>
      <c r="AH39" s="1">
        <v>8</v>
      </c>
      <c r="AI39" s="1">
        <v>21</v>
      </c>
      <c r="AK39" s="1" cm="1">
        <f t="array" ref="AK3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36</v>
      </c>
      <c r="AL39" t="str">
        <v>Mark Stancombe</v>
      </c>
      <c r="AM39" s="1">
        <v>39</v>
      </c>
      <c r="AN39" s="4">
        <v>8.0509259259259253E-2</v>
      </c>
      <c r="AO39" s="1">
        <v>2</v>
      </c>
      <c r="AP39" s="1">
        <v>16</v>
      </c>
      <c r="AQ39" s="1">
        <v>18</v>
      </c>
      <c r="AS39" s="1" t="str" cm="1">
        <f t="array" ref="AS3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9" s="1" t="str" cm="1">
        <f t="array" ref="BA39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0" spans="1:53" x14ac:dyDescent="0.2">
      <c r="A40" s="1" cm="1">
        <f t="array" ref="A4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37</v>
      </c>
      <c r="B40" s="8" t="str">
        <v>Rob Cherry</v>
      </c>
      <c r="C40" s="1">
        <v>112</v>
      </c>
      <c r="E40" s="1" cm="1">
        <f t="array" ref="E4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37</v>
      </c>
      <c r="F40" t="str">
        <v>Rob Cherry</v>
      </c>
      <c r="G40" s="1">
        <v>30</v>
      </c>
      <c r="H40" s="4">
        <v>3.037037037037037E-2</v>
      </c>
      <c r="I40" s="1">
        <v>11</v>
      </c>
      <c r="J40" s="1">
        <v>8</v>
      </c>
      <c r="K40" s="1">
        <v>19</v>
      </c>
      <c r="M40" s="1" cm="1">
        <f t="array" ref="M4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36</v>
      </c>
      <c r="N40" t="str">
        <v>Rob Cherry</v>
      </c>
      <c r="O40" s="1">
        <v>28</v>
      </c>
      <c r="P40" s="4">
        <v>2.5289351851851851E-2</v>
      </c>
      <c r="Q40" s="1">
        <v>13</v>
      </c>
      <c r="R40" s="1">
        <v>8</v>
      </c>
      <c r="S40" s="1">
        <v>21</v>
      </c>
      <c r="U40" s="1" cm="1">
        <f t="array" ref="U4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37</v>
      </c>
      <c r="V40" t="str">
        <v>Mark Stancombe</v>
      </c>
      <c r="W40" s="1">
        <v>38</v>
      </c>
      <c r="X40" s="4">
        <v>6.2476851851851853E-2</v>
      </c>
      <c r="Y40" s="1">
        <v>3</v>
      </c>
      <c r="Z40" s="1">
        <v>16</v>
      </c>
      <c r="AA40" s="1">
        <v>19</v>
      </c>
      <c r="AC40" s="1" cm="1">
        <f t="array" ref="AC4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37</v>
      </c>
      <c r="AD40" t="str">
        <v>Rob Cherry</v>
      </c>
      <c r="AE40" s="1">
        <v>31</v>
      </c>
      <c r="AF40" s="4">
        <v>2.6932870370370371E-2</v>
      </c>
      <c r="AG40" s="1">
        <v>10</v>
      </c>
      <c r="AH40" s="1">
        <v>8</v>
      </c>
      <c r="AI40" s="1">
        <v>18</v>
      </c>
      <c r="AK40" s="1" cm="1">
        <f t="array" ref="AK4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37</v>
      </c>
      <c r="AL40" t="str">
        <v>Olivier Baillet</v>
      </c>
      <c r="AM40" s="1">
        <v>35</v>
      </c>
      <c r="AN40" s="4">
        <v>8.0509259259259253E-2</v>
      </c>
      <c r="AO40" s="1">
        <v>6</v>
      </c>
      <c r="AP40" s="1">
        <v>8</v>
      </c>
      <c r="AQ40" s="1">
        <v>14</v>
      </c>
      <c r="AS40" s="1" t="str" cm="1">
        <f t="array" ref="AS4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0" s="1" t="str" cm="1">
        <f t="array" ref="BA40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1" spans="1:53" x14ac:dyDescent="0.2">
      <c r="A41" s="1" cm="1">
        <f t="array" ref="A4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38</v>
      </c>
      <c r="B41" s="8" t="str">
        <v xml:space="preserve">Adam Currie </v>
      </c>
      <c r="C41" s="1">
        <v>97</v>
      </c>
      <c r="E41" s="1" cm="1">
        <f t="array" ref="E4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38</v>
      </c>
      <c r="F41" t="str">
        <v>Olivier Baillet</v>
      </c>
      <c r="G41" s="1">
        <v>37</v>
      </c>
      <c r="H41" s="4">
        <v>3.8090277777777778E-2</v>
      </c>
      <c r="I41" s="1">
        <v>4</v>
      </c>
      <c r="J41" s="1">
        <v>8</v>
      </c>
      <c r="K41" s="1">
        <v>12</v>
      </c>
      <c r="M41" s="1" cm="1">
        <f t="array" ref="M4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38</v>
      </c>
      <c r="N41" t="str">
        <v>Olivier Baillet</v>
      </c>
      <c r="O41" s="1">
        <v>38</v>
      </c>
      <c r="P41" s="4">
        <v>3.4143518518518517E-2</v>
      </c>
      <c r="Q41" s="1">
        <v>3</v>
      </c>
      <c r="R41" s="1">
        <v>8</v>
      </c>
      <c r="S41" s="1">
        <v>11</v>
      </c>
      <c r="U41" s="1" cm="1">
        <f t="array" ref="U4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38</v>
      </c>
      <c r="V41" t="str">
        <v>Olivier Baillet</v>
      </c>
      <c r="W41" s="1">
        <v>36</v>
      </c>
      <c r="X41" s="4">
        <v>6.2476851851851853E-2</v>
      </c>
      <c r="Y41" s="1">
        <v>5</v>
      </c>
      <c r="Z41" s="1">
        <v>8</v>
      </c>
      <c r="AA41" s="1">
        <v>13</v>
      </c>
      <c r="AC41" s="1" cm="1">
        <f t="array" ref="AC4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38</v>
      </c>
      <c r="AD41" t="str">
        <v>Harvey Jackson</v>
      </c>
      <c r="AE41" s="1">
        <v>26</v>
      </c>
      <c r="AF41" s="4">
        <v>2.6192129629629631E-2</v>
      </c>
      <c r="AG41" s="1">
        <v>0</v>
      </c>
      <c r="AH41" s="1">
        <v>16</v>
      </c>
      <c r="AI41" s="1">
        <v>16</v>
      </c>
      <c r="AK41" s="1" cm="1">
        <f t="array" ref="AK41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38</v>
      </c>
      <c r="AL41" t="str">
        <v>Justin Goold</v>
      </c>
      <c r="AM41" s="1">
        <v>37</v>
      </c>
      <c r="AN41" s="4">
        <v>8.0509259259259253E-2</v>
      </c>
      <c r="AO41" s="1">
        <v>4</v>
      </c>
      <c r="AP41" s="1">
        <v>8</v>
      </c>
      <c r="AQ41" s="1">
        <v>12</v>
      </c>
      <c r="AS41" s="1" t="str" cm="1">
        <f t="array" ref="AS4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1" s="1" t="str" cm="1">
        <f t="array" ref="BA41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2" spans="1:53" x14ac:dyDescent="0.2">
      <c r="A42" s="1" cm="1">
        <f t="array" ref="A4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39</v>
      </c>
      <c r="B42" s="8" t="str">
        <v>Hans Stiles</v>
      </c>
      <c r="C42" s="1">
        <v>69</v>
      </c>
      <c r="E42" s="1" cm="1">
        <f t="array" ref="E4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39</v>
      </c>
      <c r="F42" t="str">
        <v>Alan Grant</v>
      </c>
      <c r="G42" s="1">
        <v>38</v>
      </c>
      <c r="H42" s="4">
        <v>3.8090277777777778E-2</v>
      </c>
      <c r="I42" s="1">
        <v>3</v>
      </c>
      <c r="J42" s="1">
        <v>0</v>
      </c>
      <c r="K42" s="1">
        <v>3</v>
      </c>
      <c r="M42" s="1" cm="1">
        <f t="array" ref="M4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39</v>
      </c>
      <c r="N42" t="str">
        <v xml:space="preserve">Nick Dumonde </v>
      </c>
      <c r="O42" s="1">
        <v>39</v>
      </c>
      <c r="P42" s="4">
        <v>3.4143518518518517E-2</v>
      </c>
      <c r="Q42" s="1">
        <v>2</v>
      </c>
      <c r="R42" s="1">
        <v>8</v>
      </c>
      <c r="S42" s="1">
        <v>10</v>
      </c>
      <c r="U42" s="1" cm="1">
        <f t="array" ref="U4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39</v>
      </c>
      <c r="V42" t="str">
        <v>Hans Stiles</v>
      </c>
      <c r="W42" s="1">
        <v>39</v>
      </c>
      <c r="X42" s="4">
        <v>6.2476851851851853E-2</v>
      </c>
      <c r="Y42" s="1">
        <v>2</v>
      </c>
      <c r="Z42" s="1">
        <v>8</v>
      </c>
      <c r="AA42" s="1">
        <v>10</v>
      </c>
      <c r="AC42" s="1" cm="1">
        <f t="array" ref="AC4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39</v>
      </c>
      <c r="AD42" t="str">
        <v>Olivier Baillet</v>
      </c>
      <c r="AE42" s="1">
        <v>37</v>
      </c>
      <c r="AF42" s="4">
        <v>3.4953703703703702E-2</v>
      </c>
      <c r="AG42" s="1">
        <v>4</v>
      </c>
      <c r="AH42" s="1">
        <v>8</v>
      </c>
      <c r="AI42" s="1">
        <v>12</v>
      </c>
      <c r="AK42" s="1" cm="1">
        <f t="array" ref="AK42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39</v>
      </c>
      <c r="AL42" t="str">
        <v>Hans Stiles</v>
      </c>
      <c r="AM42" s="1">
        <v>40</v>
      </c>
      <c r="AN42" s="4">
        <v>8.0509259259259253E-2</v>
      </c>
      <c r="AO42" s="1">
        <v>1</v>
      </c>
      <c r="AP42" s="1">
        <v>8</v>
      </c>
      <c r="AQ42" s="1">
        <v>9</v>
      </c>
      <c r="AS42" s="1" t="str" cm="1">
        <f t="array" ref="AS4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2" s="1" t="str" cm="1">
        <f t="array" ref="BA42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3" spans="1:53" x14ac:dyDescent="0.2">
      <c r="A43" s="1" cm="1">
        <f t="array" ref="A4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40</v>
      </c>
      <c r="B43" s="8" t="str">
        <v>Olivier Baillet</v>
      </c>
      <c r="C43" s="1">
        <v>62</v>
      </c>
      <c r="E43" s="1" cm="1">
        <f t="array" ref="E4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40</v>
      </c>
      <c r="F43" t="str">
        <v>Mark Presland</v>
      </c>
      <c r="G43" s="1">
        <v>40</v>
      </c>
      <c r="H43" s="4">
        <v>3.8090277777777778E-2</v>
      </c>
      <c r="I43" s="1">
        <v>1</v>
      </c>
      <c r="J43" s="1">
        <v>0</v>
      </c>
      <c r="K43" s="1">
        <v>1</v>
      </c>
      <c r="M43" s="1" cm="1">
        <f t="array" ref="M4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40</v>
      </c>
      <c r="N43" t="str">
        <v>Hans Stiles</v>
      </c>
      <c r="O43" s="1">
        <v>40</v>
      </c>
      <c r="P43" s="4">
        <v>3.4143518518518517E-2</v>
      </c>
      <c r="Q43" s="1">
        <v>1</v>
      </c>
      <c r="R43" s="1">
        <v>8</v>
      </c>
      <c r="S43" s="1">
        <v>9</v>
      </c>
      <c r="U43" s="1" cm="1">
        <f t="array" ref="U4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40</v>
      </c>
      <c r="V43" t="str">
        <v xml:space="preserve">Adam Currie </v>
      </c>
      <c r="W43" s="1">
        <v>37</v>
      </c>
      <c r="X43" s="4">
        <v>6.2476851851851853E-2</v>
      </c>
      <c r="Y43" s="1">
        <v>4</v>
      </c>
      <c r="Z43" s="1">
        <v>0</v>
      </c>
      <c r="AA43" s="1">
        <v>4</v>
      </c>
      <c r="AC43" s="1" cm="1">
        <f t="array" ref="AC4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40</v>
      </c>
      <c r="AD43" t="str">
        <v>Hans Stiles</v>
      </c>
      <c r="AE43" s="1">
        <v>39</v>
      </c>
      <c r="AF43" s="4">
        <v>3.4953703703703702E-2</v>
      </c>
      <c r="AG43" s="1">
        <v>2</v>
      </c>
      <c r="AH43" s="1">
        <v>8</v>
      </c>
      <c r="AI43" s="1">
        <v>10</v>
      </c>
      <c r="AK43" s="1" cm="1">
        <f t="array" ref="AK43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40</v>
      </c>
      <c r="AL43" t="str">
        <v xml:space="preserve">Adam Currie </v>
      </c>
      <c r="AM43" s="1">
        <v>36</v>
      </c>
      <c r="AN43" s="4">
        <v>8.0509259259259253E-2</v>
      </c>
      <c r="AO43" s="1">
        <v>5</v>
      </c>
      <c r="AP43" s="1">
        <v>0</v>
      </c>
      <c r="AQ43" s="1">
        <v>5</v>
      </c>
      <c r="AS43" s="1" t="str" cm="1">
        <f t="array" ref="AS4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3" s="1" t="str" cm="1">
        <f t="array" ref="BA43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4" spans="1:53" x14ac:dyDescent="0.2">
      <c r="A44" s="1" t="str" cm="1">
        <f t="array" ref="A4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4" s="1" t="str" cm="1">
        <f t="array" ref="E4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4" s="1" t="str" cm="1">
        <f t="array" ref="M4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4" s="1" t="str" cm="1">
        <f t="array" ref="U4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4" s="1" t="str" cm="1">
        <f t="array" ref="AC4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4" s="1" t="str" cm="1">
        <f t="array" ref="AK4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44" s="1" t="str" cm="1">
        <f t="array" ref="AS4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4" s="1" t="str" cm="1">
        <f t="array" ref="BA4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5" spans="1:53" x14ac:dyDescent="0.2">
      <c r="A45" s="1" t="str" cm="1">
        <f t="array" ref="A4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5" s="1" t="str" cm="1">
        <f t="array" ref="E4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5" s="1" t="str" cm="1">
        <f t="array" ref="M4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5" s="1" t="str" cm="1">
        <f t="array" ref="U4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5" s="1" t="str" cm="1">
        <f t="array" ref="AC4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5" s="1" t="str" cm="1">
        <f t="array" ref="AK4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45" s="1" t="str" cm="1">
        <f t="array" ref="AS4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5" s="1" t="str" cm="1">
        <f t="array" ref="BA4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6" spans="1:53" x14ac:dyDescent="0.2">
      <c r="A46" s="1" t="str" cm="1">
        <f t="array" ref="A4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6" s="1" t="str" cm="1">
        <f t="array" ref="E4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6" s="1" t="str" cm="1">
        <f t="array" ref="M4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6" s="1" t="str" cm="1">
        <f t="array" ref="U4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6" s="1" t="str" cm="1">
        <f t="array" ref="AC4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6" s="1" t="str" cm="1">
        <f t="array" ref="AK4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46" s="1" t="str" cm="1">
        <f t="array" ref="AS4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6" s="1" t="str" cm="1">
        <f t="array" ref="BA46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7" spans="1:53" x14ac:dyDescent="0.2">
      <c r="A47" s="1" t="str" cm="1">
        <f t="array" ref="A4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7" s="1" t="str" cm="1">
        <f t="array" ref="E4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7" s="1" t="str" cm="1">
        <f t="array" ref="M4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7" s="1" t="str" cm="1">
        <f t="array" ref="U4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7" s="1" t="str" cm="1">
        <f t="array" ref="AC4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7" s="1" t="str" cm="1">
        <f t="array" ref="AK4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47" s="1" t="str" cm="1">
        <f t="array" ref="AS4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7" s="1" t="str" cm="1">
        <f t="array" ref="BA47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8" spans="1:53" x14ac:dyDescent="0.2">
      <c r="A48" s="1" t="str" cm="1">
        <f t="array" ref="A4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8" s="1" t="str" cm="1">
        <f t="array" ref="E4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8" s="1" t="str" cm="1">
        <f t="array" ref="M4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8" s="1" t="str" cm="1">
        <f t="array" ref="U4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8" s="1" t="str" cm="1">
        <f t="array" ref="AC4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8" s="1" t="str" cm="1">
        <f t="array" ref="AK4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48" s="1" t="str" cm="1">
        <f t="array" ref="AS4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8" s="1" t="str" cm="1">
        <f t="array" ref="BA48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9" spans="1:53" x14ac:dyDescent="0.2">
      <c r="A49" s="1" t="str" cm="1">
        <f t="array" ref="A4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9" s="1" t="str" cm="1">
        <f t="array" ref="E4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9" s="1" t="str" cm="1">
        <f t="array" ref="M4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9" s="1" t="str" cm="1">
        <f t="array" ref="U4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9" s="1" t="str" cm="1">
        <f t="array" ref="AC4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9" s="1" t="str" cm="1">
        <f t="array" ref="AK4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49" s="1" t="str" cm="1">
        <f t="array" ref="AS4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9" s="1" t="str" cm="1">
        <f t="array" ref="BA49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0" spans="1:53" x14ac:dyDescent="0.2">
      <c r="A50" s="1" t="str" cm="1">
        <f t="array" ref="A5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0" s="1" t="str" cm="1">
        <f t="array" ref="E5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0" s="1" t="str" cm="1">
        <f t="array" ref="M5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0" s="1" t="str" cm="1">
        <f t="array" ref="U5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0" s="1" t="str" cm="1">
        <f t="array" ref="AC5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0" s="1" t="str" cm="1">
        <f t="array" ref="AK5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50" s="1" t="str" cm="1">
        <f t="array" ref="AS5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0" s="1" t="str" cm="1">
        <f t="array" ref="BA50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1" spans="1:53" x14ac:dyDescent="0.2">
      <c r="A51" s="1" t="str" cm="1">
        <f t="array" ref="A5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1" s="1" t="str" cm="1">
        <f t="array" ref="E5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1" s="1" t="str" cm="1">
        <f t="array" ref="M5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1" s="1" t="str" cm="1">
        <f t="array" ref="U5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1" s="1" t="str" cm="1">
        <f t="array" ref="AC5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1" s="1" t="str" cm="1">
        <f t="array" ref="AK5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51" s="1" t="str" cm="1">
        <f t="array" ref="AS5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1" s="1" t="str" cm="1">
        <f t="array" ref="BA51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2" spans="1:53" x14ac:dyDescent="0.2">
      <c r="A52" s="1" t="str" cm="1">
        <f t="array" ref="A5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2" s="1" t="str" cm="1">
        <f t="array" ref="E5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2" s="1" t="str" cm="1">
        <f t="array" ref="M5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2" s="1" t="str" cm="1">
        <f t="array" ref="U5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2" s="1" t="str" cm="1">
        <f t="array" ref="AC5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2" s="1" t="str" cm="1">
        <f t="array" ref="AK5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52" s="1" t="str" cm="1">
        <f t="array" ref="AS5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2" s="1" t="str" cm="1">
        <f t="array" ref="BA52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3" spans="1:53" x14ac:dyDescent="0.2">
      <c r="A53" s="1" t="str" cm="1">
        <f t="array" ref="A5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3" s="1" t="str" cm="1">
        <f t="array" ref="E5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3" s="1" t="str" cm="1">
        <f t="array" ref="M5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3" s="1" t="str" cm="1">
        <f t="array" ref="U5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3" s="1" t="str" cm="1">
        <f t="array" ref="AC5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3" s="1" t="str" cm="1">
        <f t="array" ref="AK5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53" s="1" t="str" cm="1">
        <f t="array" ref="AS5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3" s="1" t="str" cm="1">
        <f t="array" ref="BA53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4" spans="1:53" x14ac:dyDescent="0.2">
      <c r="A54" s="1" t="str" cm="1">
        <f t="array" ref="A5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4" s="1" t="str" cm="1">
        <f t="array" ref="E5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4" s="1" t="str" cm="1">
        <f t="array" ref="M5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4" s="1" t="str" cm="1">
        <f t="array" ref="U5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4" s="1" t="str" cm="1">
        <f t="array" ref="AC5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4" s="1" t="str" cm="1">
        <f t="array" ref="AK5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54" s="1" t="str" cm="1">
        <f t="array" ref="AS5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4" s="1" t="str" cm="1">
        <f t="array" ref="BA5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5" spans="1:53" x14ac:dyDescent="0.2">
      <c r="A55" s="1" t="str" cm="1">
        <f t="array" ref="A5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5" s="1" t="str" cm="1">
        <f t="array" ref="E5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5" s="1" t="str" cm="1">
        <f t="array" ref="M5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5" s="1" t="str" cm="1">
        <f t="array" ref="U5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5" s="1" t="str" cm="1">
        <f t="array" ref="AC5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5" s="1" t="str" cm="1">
        <f t="array" ref="AK5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S55" s="1" t="str" cm="1">
        <f t="array" ref="AS5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5" s="1" t="str" cm="1">
        <f t="array" ref="BA5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</sheetData>
  <sheetProtection sheet="1" objects="1" scenarios="1"/>
  <mergeCells count="8">
    <mergeCell ref="AC1:AI1"/>
    <mergeCell ref="AS1:AY1"/>
    <mergeCell ref="BA1:BG1"/>
    <mergeCell ref="A1:C1"/>
    <mergeCell ref="E1:K1"/>
    <mergeCell ref="M1:S1"/>
    <mergeCell ref="U1:AA1"/>
    <mergeCell ref="AK1:AQ1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321F-6E65-4740-ACAE-FFAB85929CB1}">
  <dimension ref="A1:BG55"/>
  <sheetViews>
    <sheetView topLeftCell="AR1" workbookViewId="0">
      <selection activeCell="AN31" sqref="AN31"/>
    </sheetView>
  </sheetViews>
  <sheetFormatPr baseColWidth="10" defaultRowHeight="15" x14ac:dyDescent="0.2"/>
  <cols>
    <col min="1" max="1" width="8.83203125" style="1" customWidth="1"/>
    <col min="2" max="2" width="16.6640625" style="8" bestFit="1" customWidth="1"/>
    <col min="3" max="3" width="10.83203125" style="1"/>
    <col min="4" max="4" width="6.6640625" customWidth="1"/>
    <col min="5" max="5" width="10.83203125" style="1"/>
    <col min="6" max="6" width="18.33203125" customWidth="1"/>
    <col min="7" max="7" width="6" style="1" customWidth="1"/>
    <col min="8" max="8" width="10.83203125" style="4"/>
    <col min="9" max="11" width="10" style="1" customWidth="1"/>
    <col min="12" max="12" width="6.6640625" customWidth="1"/>
    <col min="13" max="13" width="10.83203125" style="1"/>
    <col min="14" max="14" width="18.33203125" customWidth="1"/>
    <col min="15" max="15" width="6" style="1" customWidth="1"/>
    <col min="16" max="16" width="10.83203125" style="4"/>
    <col min="17" max="19" width="10" style="1" customWidth="1"/>
    <col min="20" max="20" width="6.6640625" customWidth="1"/>
    <col min="21" max="21" width="10.83203125" style="1"/>
    <col min="22" max="22" width="18.33203125" customWidth="1"/>
    <col min="23" max="23" width="6" style="1" customWidth="1"/>
    <col min="24" max="24" width="10.83203125" style="4"/>
    <col min="25" max="27" width="10" style="1" customWidth="1"/>
    <col min="28" max="28" width="6.6640625" customWidth="1"/>
    <col min="29" max="29" width="10.83203125" style="1"/>
    <col min="30" max="30" width="18.33203125" customWidth="1"/>
    <col min="31" max="31" width="6" style="1" customWidth="1"/>
    <col min="32" max="32" width="10.83203125" style="4"/>
    <col min="33" max="35" width="10" style="1" customWidth="1"/>
    <col min="36" max="36" width="6.6640625" customWidth="1"/>
    <col min="37" max="37" width="10.83203125" style="1"/>
    <col min="38" max="38" width="18.33203125" customWidth="1"/>
    <col min="39" max="39" width="6" style="1" customWidth="1"/>
    <col min="40" max="40" width="10.83203125" style="4"/>
    <col min="41" max="43" width="10" style="1" customWidth="1"/>
    <col min="44" max="44" width="6.6640625" customWidth="1"/>
    <col min="45" max="45" width="10.83203125" style="1"/>
    <col min="46" max="46" width="18.33203125" customWidth="1"/>
    <col min="47" max="47" width="6" style="1" customWidth="1"/>
    <col min="48" max="48" width="10.83203125" style="4"/>
    <col min="49" max="51" width="10" style="1" customWidth="1"/>
    <col min="52" max="52" width="6.6640625" customWidth="1"/>
    <col min="53" max="53" width="10.83203125" style="1"/>
    <col min="54" max="54" width="18.33203125" customWidth="1"/>
    <col min="55" max="55" width="6" style="1" customWidth="1"/>
    <col min="56" max="56" width="10.83203125" style="4"/>
    <col min="57" max="59" width="10" style="1" customWidth="1"/>
  </cols>
  <sheetData>
    <row r="1" spans="1:59" ht="20" thickBot="1" x14ac:dyDescent="0.3">
      <c r="A1" s="22" t="s">
        <v>43</v>
      </c>
      <c r="B1" s="22"/>
      <c r="C1" s="22"/>
      <c r="E1" s="22" t="s">
        <v>18</v>
      </c>
      <c r="F1" s="22"/>
      <c r="G1" s="22"/>
      <c r="H1" s="22"/>
      <c r="I1" s="22"/>
      <c r="J1" s="22"/>
      <c r="K1" s="22"/>
      <c r="M1" s="22" t="s">
        <v>19</v>
      </c>
      <c r="N1" s="22"/>
      <c r="O1" s="22"/>
      <c r="P1" s="22"/>
      <c r="Q1" s="22"/>
      <c r="R1" s="22"/>
      <c r="S1" s="22"/>
      <c r="U1" s="22" t="s">
        <v>110</v>
      </c>
      <c r="V1" s="22"/>
      <c r="W1" s="22"/>
      <c r="X1" s="22"/>
      <c r="Y1" s="22"/>
      <c r="Z1" s="22"/>
      <c r="AA1" s="22"/>
      <c r="AC1" s="22" t="s">
        <v>111</v>
      </c>
      <c r="AD1" s="22"/>
      <c r="AE1" s="22"/>
      <c r="AF1" s="22"/>
      <c r="AG1" s="22"/>
      <c r="AH1" s="22"/>
      <c r="AI1" s="22"/>
      <c r="AK1" s="22" t="s">
        <v>20</v>
      </c>
      <c r="AL1" s="22"/>
      <c r="AM1" s="22"/>
      <c r="AN1" s="22"/>
      <c r="AO1" s="22"/>
      <c r="AP1" s="22"/>
      <c r="AQ1" s="22"/>
      <c r="AS1" s="22" t="s">
        <v>21</v>
      </c>
      <c r="AT1" s="22"/>
      <c r="AU1" s="22"/>
      <c r="AV1" s="22"/>
      <c r="AW1" s="22"/>
      <c r="AX1" s="22"/>
      <c r="AY1" s="22"/>
      <c r="BA1" s="22" t="s">
        <v>22</v>
      </c>
      <c r="BB1" s="22"/>
      <c r="BC1" s="22"/>
      <c r="BD1" s="22"/>
      <c r="BE1" s="22"/>
      <c r="BF1" s="22"/>
      <c r="BG1" s="22"/>
    </row>
    <row r="2" spans="1:59" s="3" customFormat="1" x14ac:dyDescent="0.2">
      <c r="A2" s="3" t="s">
        <v>23</v>
      </c>
      <c r="B2" s="3" t="s">
        <v>24</v>
      </c>
      <c r="C2" s="3" t="s">
        <v>27</v>
      </c>
      <c r="E2" s="3" t="s">
        <v>44</v>
      </c>
      <c r="F2" s="3" t="s">
        <v>24</v>
      </c>
      <c r="G2" s="3" t="s">
        <v>45</v>
      </c>
      <c r="H2" s="9" t="s">
        <v>25</v>
      </c>
      <c r="I2" s="3" t="s">
        <v>46</v>
      </c>
      <c r="J2" s="3" t="s">
        <v>33</v>
      </c>
      <c r="K2" s="3" t="s">
        <v>26</v>
      </c>
      <c r="M2" s="3" t="s">
        <v>44</v>
      </c>
      <c r="N2" s="3" t="s">
        <v>24</v>
      </c>
      <c r="O2" s="3" t="s">
        <v>45</v>
      </c>
      <c r="P2" s="9" t="s">
        <v>25</v>
      </c>
      <c r="Q2" s="3" t="s">
        <v>46</v>
      </c>
      <c r="R2" s="3" t="s">
        <v>33</v>
      </c>
      <c r="S2" s="3" t="s">
        <v>26</v>
      </c>
      <c r="U2" s="3" t="s">
        <v>44</v>
      </c>
      <c r="V2" s="3" t="s">
        <v>24</v>
      </c>
      <c r="W2" s="3" t="s">
        <v>45</v>
      </c>
      <c r="X2" s="9" t="s">
        <v>25</v>
      </c>
      <c r="Y2" s="3" t="s">
        <v>46</v>
      </c>
      <c r="Z2" s="3" t="s">
        <v>33</v>
      </c>
      <c r="AA2" s="3" t="s">
        <v>26</v>
      </c>
      <c r="AC2" s="3" t="s">
        <v>44</v>
      </c>
      <c r="AD2" s="3" t="s">
        <v>24</v>
      </c>
      <c r="AE2" s="3" t="s">
        <v>45</v>
      </c>
      <c r="AF2" s="9" t="s">
        <v>25</v>
      </c>
      <c r="AG2" s="3" t="s">
        <v>46</v>
      </c>
      <c r="AH2" s="3" t="s">
        <v>33</v>
      </c>
      <c r="AI2" s="3" t="s">
        <v>26</v>
      </c>
      <c r="AK2" s="3" t="s">
        <v>44</v>
      </c>
      <c r="AL2" s="3" t="s">
        <v>24</v>
      </c>
      <c r="AM2" s="3" t="s">
        <v>45</v>
      </c>
      <c r="AN2" s="9" t="s">
        <v>25</v>
      </c>
      <c r="AO2" s="3" t="s">
        <v>46</v>
      </c>
      <c r="AP2" s="3" t="s">
        <v>33</v>
      </c>
      <c r="AQ2" s="3" t="s">
        <v>26</v>
      </c>
      <c r="AS2" s="3" t="s">
        <v>44</v>
      </c>
      <c r="AT2" s="3" t="s">
        <v>24</v>
      </c>
      <c r="AU2" s="3" t="s">
        <v>45</v>
      </c>
      <c r="AV2" s="9" t="s">
        <v>25</v>
      </c>
      <c r="AW2" s="3" t="s">
        <v>46</v>
      </c>
      <c r="AX2" s="3" t="s">
        <v>33</v>
      </c>
      <c r="AY2" s="3" t="s">
        <v>26</v>
      </c>
      <c r="BA2" s="3" t="s">
        <v>44</v>
      </c>
      <c r="BB2" s="3" t="s">
        <v>24</v>
      </c>
      <c r="BC2" s="3" t="s">
        <v>45</v>
      </c>
      <c r="BD2" s="9" t="s">
        <v>25</v>
      </c>
      <c r="BE2" s="3" t="s">
        <v>46</v>
      </c>
      <c r="BF2" s="3" t="s">
        <v>33</v>
      </c>
      <c r="BG2" s="3" t="s">
        <v>26</v>
      </c>
    </row>
    <row r="3" spans="1:59" s="3" customFormat="1" ht="7" customHeight="1" x14ac:dyDescent="0.2">
      <c r="B3" s="7"/>
      <c r="H3" s="9"/>
      <c r="P3" s="9"/>
      <c r="X3" s="9"/>
      <c r="AF3" s="9"/>
      <c r="AN3" s="9"/>
      <c r="AV3" s="9"/>
      <c r="BD3" s="9"/>
    </row>
    <row r="4" spans="1:59" x14ac:dyDescent="0.2">
      <c r="A4" s="1" cm="1">
        <f t="array" ref="A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</v>
      </c>
      <c r="B4" s="8" t="str" cm="1">
        <f t="array" ref="B4:C10">_xlfn.LET(
  _xlpm.names,'Stage Data - W'!$A$5:$A$48,
  _xlpm.total,'Stage Data - W'!$AU$5:$AU$48,
  _xlpm.data,_xlfn._xlws.FILTER(CHOOSE({1,2},_xlpm.names,_xlpm.total),_xlpm.names&lt;&gt;""),
  _xlfn.SORTBY(_xlpm.data,INDEX(_xlpm.data,,2),-1,INDEX(_xlpm.data,,1),1)
)</f>
        <v>Alessandra Scaduto</v>
      </c>
      <c r="C4" s="1">
        <v>34</v>
      </c>
      <c r="E4" s="1" cm="1">
        <f t="array" ref="E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</v>
      </c>
      <c r="F4" t="str" cm="1">
        <f t="array" ref="F4:K10">_xlfn.LET(
  _xlpm.names,'Stage Data - W'!$A$5:$A$48,
  _xlpm.stpos,'Stage Data - W'!D$5:D$48,
  _xlpm.time,'Stage Data - W'!E$5:E$48,
  _xlpm.base,'Stage Data - W'!F$5:F$48,
  _xlpm.hdcp,'Stage Data - W'!G$5:G$48,
  _xlpm.adj,'Stage Data - W'!H$5:H$48,
  _xlpm.data,_xlfn._xlws.FILTER(CHOOSE({1,2,3,4,5,6},_xlpm.names,_xlpm.stpos,_xlpm.time,_xlpm.base,_xlpm.hdcp,_xlpm.adj), _xlpm.adj&lt;&gt;""),
  _xlfn.SORTBY(_xlpm.data, INDEX(_xlpm.data,,6), -1, INDEX(_xlpm.data,,1), 1)
)</f>
        <v>Alex Wilson-Jones</v>
      </c>
      <c r="G4" s="1">
        <v>2</v>
      </c>
      <c r="H4" s="4">
        <v>2.6770833333333334E-2</v>
      </c>
      <c r="I4" s="1">
        <v>5</v>
      </c>
      <c r="J4" s="1">
        <v>2</v>
      </c>
      <c r="K4" s="1">
        <v>7</v>
      </c>
      <c r="M4" s="1" cm="1">
        <f t="array" ref="M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</v>
      </c>
      <c r="N4" t="str" cm="1">
        <f t="array" ref="N4:S10">_xlfn.LET(
  _xlpm.names,'Stage Data - W'!$A$5:$A$48,
  _xlpm.stpos,'Stage Data - W'!J$5:J$48,
  _xlpm.time,'Stage Data - W'!K$5:K$48,
  _xlpm.base,'Stage Data - W'!L$5:L$48,
  _xlpm.hdcp,'Stage Data - W'!M$5:M$48,
  _xlpm.adj,'Stage Data - W'!N$5:N$48,
  _xlpm.data,_xlfn._xlws.FILTER(CHOOSE({1,2,3,4,5,6},_xlpm.names,_xlpm.stpos,_xlpm.time,_xlpm.base,_xlpm.hdcp,_xlpm.adj), _xlpm.adj&lt;&gt;""),
  _xlfn.SORTBY(_xlpm.data, INDEX(_xlpm.data,,6), -1, INDEX(_xlpm.data,,1), 1)
)</f>
        <v>Alessandra Scaduto</v>
      </c>
      <c r="O4" s="1">
        <v>4</v>
      </c>
      <c r="P4" s="4">
        <v>2.5046296296296296E-2</v>
      </c>
      <c r="Q4" s="1">
        <v>3</v>
      </c>
      <c r="R4" s="1">
        <v>4</v>
      </c>
      <c r="S4" s="1">
        <v>7</v>
      </c>
      <c r="U4" s="1" cm="1">
        <f t="array" ref="U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</v>
      </c>
      <c r="V4" t="str" cm="1">
        <f t="array" ref="V4:AA10">_xlfn.LET(
  _xlpm.names,'Stage Data - W'!$A$5:$A$50,
  _xlpm.stpos,'Stage Data - W'!P$5:P$50,
  _xlpm.time,'Stage Data - W'!Q$5:Q$50,
  _xlpm.base,'Stage Data - W'!R$5:R$50,
  _xlpm.hdcp,'Stage Data - W'!S$5:S$50,
  _xlpm.adj,'Stage Data - W'!T$5:T$50,
  _xlpm.data,_xlfn._xlws.FILTER(CHOOSE({1,2,3,4,5,6},_xlpm.names,_xlpm.stpos,_xlpm.time,_xlpm.base,_xlpm.hdcp,_xlpm.adj), _xlpm.adj&lt;&gt;""),
  _xlfn.SORTBY(_xlpm.data, INDEX(_xlpm.data,,6), -1, INDEX(_xlpm.data,,1), 1)
)</f>
        <v>Alessandra Scaduto</v>
      </c>
      <c r="W4" s="1">
        <v>4</v>
      </c>
      <c r="X4" s="4">
        <v>4.2418981481481481E-2</v>
      </c>
      <c r="Y4" s="1">
        <v>3</v>
      </c>
      <c r="Z4" s="1">
        <v>4</v>
      </c>
      <c r="AA4" s="1">
        <v>7</v>
      </c>
      <c r="AC4" s="1" cm="1">
        <f t="array" ref="AC4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</v>
      </c>
      <c r="AD4" t="str" cm="1">
        <f t="array" ref="AD4:AI10">_xlfn.LET(
  _xlpm.names,'Stage Data - W'!$A$5:$A$50,
  _xlpm.stpos,'Stage Data - W'!V$5:V$50,
  _xlpm.time,'Stage Data - W'!W$5:W$50,
  _xlpm.base,'Stage Data - W'!X$5:X$50,
  _xlpm.hdcp,'Stage Data - W'!Y$5:Y$50,
  _xlpm.adj,'Stage Data - W'!Z$5:Z$50,
  _xlpm.data,_xlfn._xlws.FILTER(CHOOSE({1,2,3,4,5,6},_xlpm.names,_xlpm.stpos,_xlpm.time,_xlpm.base,_xlpm.hdcp,_xlpm.adj), _xlpm.adj&lt;&gt;""),
  _xlfn.SORTBY(_xlpm.data, INDEX(_xlpm.data,,6), -1, INDEX(_xlpm.data,,1), 1)
)</f>
        <v>Alessandra Scaduto</v>
      </c>
      <c r="AE4" s="1">
        <v>4</v>
      </c>
      <c r="AF4" s="4">
        <v>2.6087962962962962E-2</v>
      </c>
      <c r="AG4" s="1">
        <v>3</v>
      </c>
      <c r="AH4" s="1">
        <v>4</v>
      </c>
      <c r="AI4" s="1">
        <v>7</v>
      </c>
      <c r="AK4" s="10" cm="1">
        <f t="array" ref="AK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1</v>
      </c>
      <c r="AL4" t="str" cm="1">
        <f t="array" ref="AL4:AQ10">_xlfn.LET(
  _xlpm.names,'Stage Data - W'!$A$5:$A$50,
  _xlpm.stpos,'Stage Data - W'!AB$5:AB$50,
  _xlpm.time,'Stage Data - W'!AC$5:AC$50,
  _xlpm.base,'Stage Data - W'!AD$5:AD$50,
  _xlpm.hdcp,'Stage Data - W'!AE$5:AE$50,
  _xlpm.adj,'Stage Data - W'!AF$5:AF$50,
  _xlpm.data,_xlfn._xlws.FILTER(CHOOSE({1,2,3,4,5,6},_xlpm.names,_xlpm.stpos,_xlpm.time,_xlpm.base,_xlpm.hdcp,_xlpm.adj), _xlpm.adj&lt;&gt;""),
  _xlfn.SORTBY(_xlpm.data, INDEX(_xlpm.data,,6), -1, INDEX(_xlpm.data,,1), 1)
)</f>
        <v>Alessandra Scaduto</v>
      </c>
      <c r="AM4" s="1">
        <v>4</v>
      </c>
      <c r="AN4" s="4">
        <v>5.5243055555555552E-2</v>
      </c>
      <c r="AO4" s="1">
        <v>3</v>
      </c>
      <c r="AP4" s="1">
        <v>4</v>
      </c>
      <c r="AQ4" s="1">
        <v>7</v>
      </c>
      <c r="AS4" s="1" t="e" cm="1">
        <f t="array" ref="AS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>#REF!</v>
      </c>
      <c r="AT4" t="e" cm="1" vm="1">
        <f t="array" ref="AT4">_xlfn.LET(
  _xlpm.names,'Stage Data - W'!$A$5:$A$50,
  _xlpm.stpos,'Stage Data - W'!AH$5:AH$50,
  _xlpm.time,'Stage Data - W'!AI$5:AI$50,
  _xlpm.base,'Stage Data - W'!AJ$5:AJ$50,
  _xlpm.hdcp,'Stage Data - W'!AK$5:AK$50,
  _xlpm.adj,'Stage Data - W'!AL$5:AL$50,
  _xlpm.data,_xlfn._xlws.FILTER(CHOOSE({1,2,3,4,5,6},_xlpm.names,_xlpm.stpos,_xlpm.time,_xlpm.base,_xlpm.hdcp,_xlpm.adj), _xlpm.adj&lt;&gt;""),
  _xlfn.SORTBY(_xlpm.data, INDEX(_xlpm.data,,6), -1, INDEX(_xlpm.data,,1), 1)
)</f>
        <v>#VALUE!</v>
      </c>
      <c r="BA4" s="1" t="e" cm="1">
        <f t="array" ref="BA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>#REF!</v>
      </c>
      <c r="BB4" t="e" cm="1" vm="1">
        <f t="array" ref="BB4">_xlfn.LET(
  _xlpm.names,'Stage Data - W'!$A$5:$A$50,
  _xlpm.stpos,'Stage Data - W'!AN$5:AN$50,
  _xlpm.time,'Stage Data - W'!AO$5:AO$50,
  _xlpm.base,'Stage Data - W'!AP$5:AP$50,
  _xlpm.hdcp,'Stage Data - W'!AQ$5:AQ$50,
  _xlpm.adj,'Stage Data - W'!AR$5:AR$50,
  _xlpm.data,_xlfn._xlws.FILTER(CHOOSE({1,2,3,4,5,6},_xlpm.names,_xlpm.stpos,_xlpm.time,_xlpm.base,_xlpm.hdcp,_xlpm.adj), _xlpm.adj&lt;&gt;""),
  _xlfn.SORTBY(_xlpm.data, INDEX(_xlpm.data,,6), -1, INDEX(_xlpm.data,,1), 1)
)</f>
        <v>#VALUE!</v>
      </c>
    </row>
    <row r="5" spans="1:59" x14ac:dyDescent="0.2">
      <c r="A5" s="1" cm="1">
        <f t="array" ref="A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1</v>
      </c>
      <c r="B5" s="8" t="str">
        <v>Laura McMullen</v>
      </c>
      <c r="C5" s="1">
        <v>34</v>
      </c>
      <c r="E5" s="1" cm="1">
        <f t="array" ref="E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</v>
      </c>
      <c r="F5" t="str">
        <v>Alexandra Chuchu</v>
      </c>
      <c r="G5" s="1">
        <v>4</v>
      </c>
      <c r="H5" s="4">
        <v>2.9456018518518517E-2</v>
      </c>
      <c r="I5" s="1">
        <v>3</v>
      </c>
      <c r="J5" s="1">
        <v>4</v>
      </c>
      <c r="K5" s="1">
        <v>7</v>
      </c>
      <c r="M5" s="1" cm="1">
        <f t="array" ref="M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</v>
      </c>
      <c r="N5" t="str">
        <v>Alex Wilson-Jones</v>
      </c>
      <c r="O5" s="1">
        <v>2</v>
      </c>
      <c r="P5" s="4">
        <v>2.2766203703703705E-2</v>
      </c>
      <c r="Q5" s="1">
        <v>5</v>
      </c>
      <c r="R5" s="1">
        <v>2</v>
      </c>
      <c r="S5" s="1">
        <v>7</v>
      </c>
      <c r="U5" s="1" cm="1">
        <f t="array" ref="U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</v>
      </c>
      <c r="V5" t="str">
        <v>Alex Joss</v>
      </c>
      <c r="W5" s="1">
        <v>2</v>
      </c>
      <c r="X5" s="4">
        <v>3.6423611111111108E-2</v>
      </c>
      <c r="Y5" s="1">
        <v>5</v>
      </c>
      <c r="Z5" s="1">
        <v>2</v>
      </c>
      <c r="AA5" s="1">
        <v>7</v>
      </c>
      <c r="AC5" s="1" cm="1">
        <f t="array" ref="AC5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</v>
      </c>
      <c r="AD5" t="str">
        <v>Alex Wilson-Jones</v>
      </c>
      <c r="AE5" s="1">
        <v>2</v>
      </c>
      <c r="AF5" s="4">
        <v>2.4328703703703703E-2</v>
      </c>
      <c r="AG5" s="1">
        <v>5</v>
      </c>
      <c r="AH5" s="1">
        <v>2</v>
      </c>
      <c r="AI5" s="1">
        <v>7</v>
      </c>
      <c r="AK5" s="10" cm="1">
        <f t="array" ref="AK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1</v>
      </c>
      <c r="AL5" t="str">
        <v>Alex Joss</v>
      </c>
      <c r="AM5" s="1">
        <v>1</v>
      </c>
      <c r="AN5" s="4">
        <v>4.9444444444444444E-2</v>
      </c>
      <c r="AO5" s="1">
        <v>6</v>
      </c>
      <c r="AP5" s="1">
        <v>2</v>
      </c>
      <c r="AQ5" s="1">
        <v>7</v>
      </c>
      <c r="AS5" s="1" t="str" cm="1">
        <f t="array" ref="AS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" s="1" t="str" cm="1">
        <f t="array" ref="BA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6" spans="1:59" x14ac:dyDescent="0.2">
      <c r="A6" s="1" cm="1">
        <f t="array" ref="A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3</v>
      </c>
      <c r="B6" s="8" t="str">
        <v>Alex Wilson-Jones</v>
      </c>
      <c r="C6" s="1">
        <v>33</v>
      </c>
      <c r="E6" s="1" cm="1">
        <f t="array" ref="E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1</v>
      </c>
      <c r="F6" t="str">
        <v>Laura McMullen</v>
      </c>
      <c r="G6" s="1">
        <v>1</v>
      </c>
      <c r="H6" s="4">
        <v>2.6469907407407407E-2</v>
      </c>
      <c r="I6" s="1">
        <v>6</v>
      </c>
      <c r="J6" s="1">
        <v>1</v>
      </c>
      <c r="K6" s="1">
        <v>7</v>
      </c>
      <c r="M6" s="1" cm="1">
        <f t="array" ref="M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1</v>
      </c>
      <c r="N6" t="str">
        <v>Laura McMullen</v>
      </c>
      <c r="O6" s="1">
        <v>1</v>
      </c>
      <c r="P6" s="4">
        <v>2.2708333333333334E-2</v>
      </c>
      <c r="Q6" s="1">
        <v>6</v>
      </c>
      <c r="R6" s="1">
        <v>1</v>
      </c>
      <c r="S6" s="1">
        <v>7</v>
      </c>
      <c r="U6" s="1" cm="1">
        <f t="array" ref="U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1</v>
      </c>
      <c r="V6" t="str">
        <v>Laura McMullen</v>
      </c>
      <c r="W6" s="1">
        <v>1</v>
      </c>
      <c r="X6" s="4">
        <v>3.5428240740740739E-2</v>
      </c>
      <c r="Y6" s="1">
        <v>6</v>
      </c>
      <c r="Z6" s="1">
        <v>1</v>
      </c>
      <c r="AA6" s="1">
        <v>7</v>
      </c>
      <c r="AC6" s="1" cm="1">
        <f t="array" ref="AC6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1</v>
      </c>
      <c r="AD6" t="str">
        <v>Laura McMullen</v>
      </c>
      <c r="AE6" s="1">
        <v>1</v>
      </c>
      <c r="AF6" s="4">
        <v>2.4155092592592593E-2</v>
      </c>
      <c r="AG6" s="1">
        <v>6</v>
      </c>
      <c r="AH6" s="1">
        <v>1</v>
      </c>
      <c r="AI6" s="1">
        <v>7</v>
      </c>
      <c r="AK6" s="10" cm="1">
        <f t="array" ref="AK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3</v>
      </c>
      <c r="AL6" t="str">
        <v>Alex Wilson-Jones</v>
      </c>
      <c r="AM6" s="1">
        <v>3</v>
      </c>
      <c r="AN6" s="4">
        <v>5.3680555555555558E-2</v>
      </c>
      <c r="AO6" s="1">
        <v>4</v>
      </c>
      <c r="AP6" s="1">
        <v>2</v>
      </c>
      <c r="AQ6" s="1">
        <v>6</v>
      </c>
      <c r="AS6" s="1" t="str" cm="1">
        <f t="array" ref="AS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6" s="1" t="str" cm="1">
        <f t="array" ref="BA6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7" spans="1:59" x14ac:dyDescent="0.2">
      <c r="A7" s="1" cm="1">
        <f t="array" ref="A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4</v>
      </c>
      <c r="B7" s="8" t="str">
        <v>Alex Joss</v>
      </c>
      <c r="C7" s="1">
        <v>32</v>
      </c>
      <c r="E7" s="1" cm="1">
        <f t="array" ref="E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4</v>
      </c>
      <c r="F7" t="str">
        <v>Alessandra Scaduto</v>
      </c>
      <c r="G7" s="1">
        <v>5</v>
      </c>
      <c r="H7" s="4">
        <v>3.0138888888888889E-2</v>
      </c>
      <c r="I7" s="1">
        <v>2</v>
      </c>
      <c r="J7" s="1">
        <v>4</v>
      </c>
      <c r="K7" s="1">
        <v>6</v>
      </c>
      <c r="M7" s="1" cm="1">
        <f t="array" ref="M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4</v>
      </c>
      <c r="N7" t="str">
        <v>Alex Joss</v>
      </c>
      <c r="O7" s="1">
        <v>3</v>
      </c>
      <c r="P7" s="4">
        <v>2.329861111111111E-2</v>
      </c>
      <c r="Q7" s="1">
        <v>4</v>
      </c>
      <c r="R7" s="1">
        <v>2</v>
      </c>
      <c r="S7" s="1">
        <v>6</v>
      </c>
      <c r="U7" s="1" cm="1">
        <f t="array" ref="U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4</v>
      </c>
      <c r="V7" t="str">
        <v>Alex Wilson-Jones</v>
      </c>
      <c r="W7" s="1">
        <v>3</v>
      </c>
      <c r="X7" s="4">
        <v>3.784722222222222E-2</v>
      </c>
      <c r="Y7" s="1">
        <v>4</v>
      </c>
      <c r="Z7" s="1">
        <v>2</v>
      </c>
      <c r="AA7" s="1">
        <v>6</v>
      </c>
      <c r="AC7" s="1" cm="1">
        <f t="array" ref="AC7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4</v>
      </c>
      <c r="AD7" t="str">
        <v>Alex Joss</v>
      </c>
      <c r="AE7" s="1">
        <v>3</v>
      </c>
      <c r="AF7" s="4">
        <v>2.4479166666666666E-2</v>
      </c>
      <c r="AG7" s="1">
        <v>4</v>
      </c>
      <c r="AH7" s="1">
        <v>2</v>
      </c>
      <c r="AI7" s="1">
        <v>6</v>
      </c>
      <c r="AK7" s="10" cm="1">
        <f t="array" ref="AK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3</v>
      </c>
      <c r="AL7" t="str">
        <v>Alexandra Chuchu</v>
      </c>
      <c r="AM7" s="1">
        <v>5</v>
      </c>
      <c r="AN7" s="4">
        <v>6.0057870370370373E-2</v>
      </c>
      <c r="AO7" s="1">
        <v>2</v>
      </c>
      <c r="AP7" s="1">
        <v>4</v>
      </c>
      <c r="AQ7" s="1">
        <v>6</v>
      </c>
      <c r="AS7" s="1" t="str" cm="1">
        <f t="array" ref="AS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7" s="1" t="str" cm="1">
        <f t="array" ref="BA7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8" spans="1:59" x14ac:dyDescent="0.2">
      <c r="A8" s="1" cm="1">
        <f t="array" ref="A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5</v>
      </c>
      <c r="B8" s="8" t="str">
        <v>Alexandra Chuchu</v>
      </c>
      <c r="C8" s="1">
        <v>29</v>
      </c>
      <c r="E8" s="1" cm="1">
        <f t="array" ref="E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4</v>
      </c>
      <c r="F8" t="str">
        <v>Alex Joss</v>
      </c>
      <c r="G8" s="1">
        <v>3</v>
      </c>
      <c r="H8" s="4">
        <v>2.6782407407407408E-2</v>
      </c>
      <c r="I8" s="1">
        <v>4</v>
      </c>
      <c r="J8" s="1">
        <v>2</v>
      </c>
      <c r="K8" s="1">
        <v>6</v>
      </c>
      <c r="M8" s="1" cm="1">
        <f t="array" ref="M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4</v>
      </c>
      <c r="N8" t="str">
        <v>Alexandra Chuchu</v>
      </c>
      <c r="O8" s="1">
        <v>5</v>
      </c>
      <c r="P8" s="4">
        <v>2.6111111111111113E-2</v>
      </c>
      <c r="Q8" s="1">
        <v>2</v>
      </c>
      <c r="R8" s="1">
        <v>4</v>
      </c>
      <c r="S8" s="1">
        <v>6</v>
      </c>
      <c r="U8" s="1" cm="1">
        <f t="array" ref="U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4</v>
      </c>
      <c r="V8" t="str">
        <v>Phoebe Macwhinnie</v>
      </c>
      <c r="W8" s="1">
        <v>5</v>
      </c>
      <c r="X8" s="4">
        <v>4.3668981481481482E-2</v>
      </c>
      <c r="Y8" s="1">
        <v>2</v>
      </c>
      <c r="Z8" s="1">
        <v>4</v>
      </c>
      <c r="AA8" s="1">
        <v>6</v>
      </c>
      <c r="AC8" s="1" cm="1">
        <f t="array" ref="AC8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4</v>
      </c>
      <c r="AD8" t="str">
        <v>Phoebe Macwhinnie</v>
      </c>
      <c r="AE8" s="1">
        <v>5</v>
      </c>
      <c r="AF8" s="4">
        <v>2.7002314814814816E-2</v>
      </c>
      <c r="AG8" s="1">
        <v>2</v>
      </c>
      <c r="AH8" s="1">
        <v>4</v>
      </c>
      <c r="AI8" s="1">
        <v>6</v>
      </c>
      <c r="AK8" s="10" cm="1">
        <f t="array" ref="AK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3</v>
      </c>
      <c r="AL8" t="str">
        <v>Laura McMullen</v>
      </c>
      <c r="AM8" s="1">
        <v>2</v>
      </c>
      <c r="AN8" s="4">
        <v>4.9490740740740738E-2</v>
      </c>
      <c r="AO8" s="1">
        <v>5</v>
      </c>
      <c r="AP8" s="1">
        <v>1</v>
      </c>
      <c r="AQ8" s="1">
        <v>6</v>
      </c>
      <c r="AS8" s="1" t="str" cm="1">
        <f t="array" ref="AS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8" s="1" t="str" cm="1">
        <f t="array" ref="BA8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9" spans="1:59" x14ac:dyDescent="0.2">
      <c r="A9" s="1" cm="1">
        <f t="array" ref="A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6</v>
      </c>
      <c r="B9" s="8" t="str">
        <v>Phoebe Macwhinnie</v>
      </c>
      <c r="C9" s="1">
        <v>26</v>
      </c>
      <c r="E9" s="1" cm="1">
        <f t="array" ref="E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6</v>
      </c>
      <c r="F9" t="str">
        <v>Patricia Vilar</v>
      </c>
      <c r="G9" s="1">
        <v>6</v>
      </c>
      <c r="H9" s="4">
        <v>3.2766203703703707E-2</v>
      </c>
      <c r="I9" s="1">
        <v>1</v>
      </c>
      <c r="J9" s="1">
        <v>4</v>
      </c>
      <c r="K9" s="1">
        <v>5</v>
      </c>
      <c r="M9" s="1" cm="1">
        <f t="array" ref="M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6</v>
      </c>
      <c r="N9" t="str">
        <v>Phoebe Macwhinnie</v>
      </c>
      <c r="O9" s="1">
        <v>6</v>
      </c>
      <c r="P9" s="4">
        <v>2.6168981481481481E-2</v>
      </c>
      <c r="Q9" s="1">
        <v>1</v>
      </c>
      <c r="R9" s="1">
        <v>4</v>
      </c>
      <c r="S9" s="1">
        <v>5</v>
      </c>
      <c r="U9" s="1" cm="1">
        <f t="array" ref="U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6</v>
      </c>
      <c r="V9" t="str">
        <v>Alexandra Chuchu</v>
      </c>
      <c r="W9" s="1">
        <v>6</v>
      </c>
      <c r="X9" s="4">
        <v>4.4270833333333336E-2</v>
      </c>
      <c r="Y9" s="1">
        <v>1</v>
      </c>
      <c r="Z9" s="1">
        <v>4</v>
      </c>
      <c r="AA9" s="1">
        <v>5</v>
      </c>
      <c r="AC9" s="1" cm="1">
        <f t="array" ref="AC9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6</v>
      </c>
      <c r="AD9" t="str">
        <v>Alexandra Chuchu</v>
      </c>
      <c r="AE9" s="1">
        <v>6</v>
      </c>
      <c r="AF9" s="4">
        <v>2.7488425925925927E-2</v>
      </c>
      <c r="AG9" s="1">
        <v>1</v>
      </c>
      <c r="AH9" s="1">
        <v>4</v>
      </c>
      <c r="AI9" s="1">
        <v>5</v>
      </c>
      <c r="AK9" s="10" cm="1">
        <f t="array" ref="AK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6</v>
      </c>
      <c r="AL9" t="str">
        <v>Phoebe Macwhinnie</v>
      </c>
      <c r="AM9" s="1">
        <v>6</v>
      </c>
      <c r="AN9" s="4">
        <v>6.0428240740740741E-2</v>
      </c>
      <c r="AO9" s="1">
        <v>1</v>
      </c>
      <c r="AP9" s="1">
        <v>4</v>
      </c>
      <c r="AQ9" s="1">
        <v>5</v>
      </c>
      <c r="AS9" s="1" t="str" cm="1">
        <f t="array" ref="AS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9" s="1" t="str" cm="1">
        <f t="array" ref="BA9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0" spans="1:59" x14ac:dyDescent="0.2">
      <c r="A10" s="1" cm="1">
        <f t="array" ref="A1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>7</v>
      </c>
      <c r="B10" s="8" t="str">
        <v>Patricia Vilar</v>
      </c>
      <c r="C10" s="1">
        <v>21</v>
      </c>
      <c r="E10" s="1" cm="1">
        <f t="array" ref="E1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>7</v>
      </c>
      <c r="F10" t="str">
        <v>Phoebe Macwhinnie</v>
      </c>
      <c r="G10" s="1">
        <v>7</v>
      </c>
      <c r="H10" s="4">
        <v>3.3101851851851855E-2</v>
      </c>
      <c r="I10" s="1">
        <v>0</v>
      </c>
      <c r="J10" s="1">
        <v>4</v>
      </c>
      <c r="K10" s="1">
        <v>4</v>
      </c>
      <c r="M10" s="1" cm="1">
        <f t="array" ref="M1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>7</v>
      </c>
      <c r="N10" t="str">
        <v>Patricia Vilar</v>
      </c>
      <c r="O10" s="1">
        <v>7</v>
      </c>
      <c r="P10" s="4">
        <v>2.6226851851851852E-2</v>
      </c>
      <c r="Q10" s="1">
        <v>0</v>
      </c>
      <c r="R10" s="1">
        <v>4</v>
      </c>
      <c r="S10" s="1">
        <v>4</v>
      </c>
      <c r="U10" s="1" cm="1">
        <f t="array" ref="U1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>7</v>
      </c>
      <c r="V10" t="str">
        <v>Patricia Vilar</v>
      </c>
      <c r="W10" s="1">
        <v>7</v>
      </c>
      <c r="X10" s="4">
        <v>4.4849537037037035E-2</v>
      </c>
      <c r="Y10" s="1">
        <v>0</v>
      </c>
      <c r="Z10" s="1">
        <v>4</v>
      </c>
      <c r="AA10" s="1">
        <v>4</v>
      </c>
      <c r="AC10" s="1" cm="1">
        <f t="array" ref="AC10">_xlfn.LET(
  _xlpm.r,ROW()-ROW($AC$4)+1,
  _xlpm.n,ROWS(_xlfn.ANCHORARRAY($AD$4)),
  IF(_xlpm.r&gt;_xlpm.n,"",
    _xlfn.LET(
      _xlpm.this,INDEX(_xlfn.ANCHORARRAY($AD$4),_xlpm.r,6),
      _xlpm.pts,INDEX(_xlfn.ANCHORARRAY($AD$4),0,6),
      IF(_xlpm.this="","",1+COUNTIF(_xlpm.pts,"&gt;"&amp;_xlpm.this))
    )
  )
)</f>
        <v>7</v>
      </c>
      <c r="AD10" t="str">
        <v>Patricia Vilar</v>
      </c>
      <c r="AE10" s="1">
        <v>7</v>
      </c>
      <c r="AF10" s="4">
        <v>2.8078703703703703E-2</v>
      </c>
      <c r="AG10" s="1">
        <v>0</v>
      </c>
      <c r="AH10" s="1">
        <v>4</v>
      </c>
      <c r="AI10" s="1">
        <v>4</v>
      </c>
      <c r="AK10" s="10" cm="1">
        <f t="array" ref="AK1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>7</v>
      </c>
      <c r="AL10" t="str">
        <v>Patricia Vilar</v>
      </c>
      <c r="AM10" s="1">
        <v>7</v>
      </c>
      <c r="AN10" s="4">
        <v>6.3969907407407406E-2</v>
      </c>
      <c r="AO10" s="1">
        <v>0</v>
      </c>
      <c r="AP10" s="1">
        <v>4</v>
      </c>
      <c r="AQ10" s="1">
        <v>4</v>
      </c>
      <c r="AS10" s="1" t="str" cm="1">
        <f t="array" ref="AS1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0" s="1" t="str" cm="1">
        <f t="array" ref="BA10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1" spans="1:59" x14ac:dyDescent="0.2">
      <c r="A11" s="1" t="str" cm="1">
        <f t="array" ref="A1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1" s="1" t="str" cm="1">
        <f t="array" ref="E1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1" s="1" t="str" cm="1">
        <f t="array" ref="M1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1" s="1" t="str" cm="1">
        <f t="array" ref="U1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1" s="1" t="str" cm="1">
        <f t="array" ref="AC1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11" s="10" t="str" cm="1">
        <f t="array" ref="AK1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1" s="1" t="str" cm="1">
        <f t="array" ref="AS1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1" s="1" t="str" cm="1">
        <f t="array" ref="BA11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2" spans="1:59" x14ac:dyDescent="0.2">
      <c r="A12" s="1" t="str" cm="1">
        <f t="array" ref="A1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2" s="1" t="str" cm="1">
        <f t="array" ref="E1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2" s="1" t="str" cm="1">
        <f t="array" ref="M1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2" s="1" t="str" cm="1">
        <f t="array" ref="U1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2" s="1" t="str" cm="1">
        <f t="array" ref="AC1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12" s="10" t="str" cm="1">
        <f t="array" ref="AK1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2" s="1" t="str" cm="1">
        <f t="array" ref="AS1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2" s="1" t="str" cm="1">
        <f t="array" ref="BA12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3" spans="1:59" x14ac:dyDescent="0.2">
      <c r="A13" s="1" t="str" cm="1">
        <f t="array" ref="A1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3" s="1" t="str" cm="1">
        <f t="array" ref="E1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3" s="1" t="str" cm="1">
        <f t="array" ref="M1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3" s="1" t="str" cm="1">
        <f t="array" ref="U1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3" s="1" t="str" cm="1">
        <f t="array" ref="AC1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13" s="10" t="str" cm="1">
        <f t="array" ref="AK1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3" s="1" t="str" cm="1">
        <f t="array" ref="AS1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3" s="1" t="str" cm="1">
        <f t="array" ref="BA13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4" spans="1:59" x14ac:dyDescent="0.2">
      <c r="A14" s="1" t="str" cm="1">
        <f t="array" ref="A1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4" s="1" t="str" cm="1">
        <f t="array" ref="E1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4" s="1" t="str" cm="1">
        <f t="array" ref="M1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4" s="1" t="str" cm="1">
        <f t="array" ref="U1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4" s="1" t="str" cm="1">
        <f t="array" ref="AC1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14" s="10" t="str" cm="1">
        <f t="array" ref="AK1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4" s="1" t="str" cm="1">
        <f t="array" ref="AS1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4" s="1" t="str" cm="1">
        <f t="array" ref="BA1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5" spans="1:59" x14ac:dyDescent="0.2">
      <c r="A15" s="1" t="str" cm="1">
        <f t="array" ref="A1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5" s="1" t="str" cm="1">
        <f t="array" ref="E1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5" s="1" t="str" cm="1">
        <f t="array" ref="M1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5" s="1" t="str" cm="1">
        <f t="array" ref="U1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5" s="1" t="str" cm="1">
        <f t="array" ref="AC1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15" s="10" t="str" cm="1">
        <f t="array" ref="AK1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5" s="1" t="str" cm="1">
        <f t="array" ref="AS1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5" s="1" t="str" cm="1">
        <f t="array" ref="BA1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6" spans="1:59" x14ac:dyDescent="0.2">
      <c r="A16" s="1" t="str" cm="1">
        <f t="array" ref="A1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6" s="1" t="str" cm="1">
        <f t="array" ref="E1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6" s="1" t="str" cm="1">
        <f t="array" ref="M1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6" s="1" t="str" cm="1">
        <f t="array" ref="U1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6" s="1" t="str" cm="1">
        <f t="array" ref="AC1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16" s="10" t="str" cm="1">
        <f t="array" ref="AK1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6" s="1" t="str" cm="1">
        <f t="array" ref="AS1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6" s="1" t="str" cm="1">
        <f t="array" ref="BA16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7" spans="1:53" x14ac:dyDescent="0.2">
      <c r="A17" s="1" t="str" cm="1">
        <f t="array" ref="A1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7" s="1" t="str" cm="1">
        <f t="array" ref="E1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7" s="1" t="str" cm="1">
        <f t="array" ref="M1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7" s="1" t="str" cm="1">
        <f t="array" ref="U1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7" s="1" t="str" cm="1">
        <f t="array" ref="AC1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17" s="10" t="str" cm="1">
        <f t="array" ref="AK1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7" s="1" t="str" cm="1">
        <f t="array" ref="AS1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7" s="1" t="str" cm="1">
        <f t="array" ref="BA17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8" spans="1:53" x14ac:dyDescent="0.2">
      <c r="A18" s="1" t="str" cm="1">
        <f t="array" ref="A1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8" s="1" t="str" cm="1">
        <f t="array" ref="E1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8" s="1" t="str" cm="1">
        <f t="array" ref="M1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8" s="1" t="str" cm="1">
        <f t="array" ref="U1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8" s="1" t="str" cm="1">
        <f t="array" ref="AC1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18" s="10" t="str" cm="1">
        <f t="array" ref="AK1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8" s="1" t="str" cm="1">
        <f t="array" ref="AS1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8" s="1" t="str" cm="1">
        <f t="array" ref="BA18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19" spans="1:53" x14ac:dyDescent="0.2">
      <c r="A19" s="1" t="str" cm="1">
        <f t="array" ref="A1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19" s="1" t="str" cm="1">
        <f t="array" ref="E1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19" s="1" t="str" cm="1">
        <f t="array" ref="M1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19" s="1" t="str" cm="1">
        <f t="array" ref="U1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19" s="1" t="str" cm="1">
        <f t="array" ref="AC1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19" s="10" t="str" cm="1">
        <f t="array" ref="AK1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19" s="1" t="str" cm="1">
        <f t="array" ref="AS1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19" s="1" t="str" cm="1">
        <f t="array" ref="BA19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0" spans="1:53" x14ac:dyDescent="0.2">
      <c r="A20" s="1" t="str" cm="1">
        <f t="array" ref="A2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0" s="1" t="str" cm="1">
        <f t="array" ref="E2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0" s="1" t="str" cm="1">
        <f t="array" ref="M2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0" s="1" t="str" cm="1">
        <f t="array" ref="U2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0" s="1" t="str" cm="1">
        <f t="array" ref="AC2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20" s="10" t="str" cm="1">
        <f t="array" ref="AK2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0" s="1" t="str" cm="1">
        <f t="array" ref="AS2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0" s="1" t="str" cm="1">
        <f t="array" ref="BA20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1" spans="1:53" x14ac:dyDescent="0.2">
      <c r="A21" s="1" t="str" cm="1">
        <f t="array" ref="A2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1" s="1" t="str" cm="1">
        <f t="array" ref="E2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1" s="1" t="str" cm="1">
        <f t="array" ref="M2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1" s="1" t="str" cm="1">
        <f t="array" ref="U2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1" s="1" t="str" cm="1">
        <f t="array" ref="AC2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21" s="10" t="str" cm="1">
        <f t="array" ref="AK2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1" s="1" t="str" cm="1">
        <f t="array" ref="AS2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1" s="1" t="str" cm="1">
        <f t="array" ref="BA21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2" spans="1:53" x14ac:dyDescent="0.2">
      <c r="A22" s="1" t="str" cm="1">
        <f t="array" ref="A2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2" s="1" t="str" cm="1">
        <f t="array" ref="E2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2" s="1" t="str" cm="1">
        <f t="array" ref="M2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2" s="1" t="str" cm="1">
        <f t="array" ref="U2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2" s="1" t="str" cm="1">
        <f t="array" ref="AC2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22" s="10" t="str" cm="1">
        <f t="array" ref="AK2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2" s="1" t="str" cm="1">
        <f t="array" ref="AS2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2" s="1" t="str" cm="1">
        <f t="array" ref="BA22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3" spans="1:53" x14ac:dyDescent="0.2">
      <c r="A23" s="1" t="str" cm="1">
        <f t="array" ref="A2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3" s="1" t="str" cm="1">
        <f t="array" ref="E2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3" s="1" t="str" cm="1">
        <f t="array" ref="M2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3" s="1" t="str" cm="1">
        <f t="array" ref="U2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3" s="1" t="str" cm="1">
        <f t="array" ref="AC2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23" s="10" t="str" cm="1">
        <f t="array" ref="AK2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3" s="1" t="str" cm="1">
        <f t="array" ref="AS2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3" s="1" t="str" cm="1">
        <f t="array" ref="BA23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4" spans="1:53" x14ac:dyDescent="0.2">
      <c r="A24" s="1" t="str" cm="1">
        <f t="array" ref="A2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4" s="1" t="str" cm="1">
        <f t="array" ref="E2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4" s="1" t="str" cm="1">
        <f t="array" ref="M2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4" s="1" t="str" cm="1">
        <f t="array" ref="U2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4" s="1" t="str" cm="1">
        <f t="array" ref="AC2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24" s="10" t="str" cm="1">
        <f t="array" ref="AK2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4" s="1" t="str" cm="1">
        <f t="array" ref="AS2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4" s="1" t="str" cm="1">
        <f t="array" ref="BA2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5" spans="1:53" x14ac:dyDescent="0.2">
      <c r="A25" s="1" t="str" cm="1">
        <f t="array" ref="A2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5" s="1" t="str" cm="1">
        <f t="array" ref="E2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5" s="1" t="str" cm="1">
        <f t="array" ref="M2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5" s="1" t="str" cm="1">
        <f t="array" ref="U2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5" s="1" t="str" cm="1">
        <f t="array" ref="AC2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25" s="10" t="str" cm="1">
        <f t="array" ref="AK2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5" s="1" t="str" cm="1">
        <f t="array" ref="AS2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5" s="1" t="str" cm="1">
        <f t="array" ref="BA2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6" spans="1:53" x14ac:dyDescent="0.2">
      <c r="A26" s="1" t="str" cm="1">
        <f t="array" ref="A2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6" s="1" t="str" cm="1">
        <f t="array" ref="E2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6" s="1" t="str" cm="1">
        <f t="array" ref="M2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6" s="1" t="str" cm="1">
        <f t="array" ref="U2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6" s="1" t="str" cm="1">
        <f t="array" ref="AC2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26" s="10" t="str" cm="1">
        <f t="array" ref="AK2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6" s="1" t="str" cm="1">
        <f t="array" ref="AS2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6" s="1" t="str" cm="1">
        <f t="array" ref="BA26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7" spans="1:53" x14ac:dyDescent="0.2">
      <c r="A27" s="1" t="str" cm="1">
        <f t="array" ref="A2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7" s="1" t="str" cm="1">
        <f t="array" ref="E2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7" s="1" t="str" cm="1">
        <f t="array" ref="M2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7" s="1" t="str" cm="1">
        <f t="array" ref="U2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7" s="1" t="str" cm="1">
        <f t="array" ref="AC2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27" s="10" t="str" cm="1">
        <f t="array" ref="AK2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7" s="1" t="str" cm="1">
        <f t="array" ref="AS2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7" s="1" t="str" cm="1">
        <f t="array" ref="BA27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8" spans="1:53" x14ac:dyDescent="0.2">
      <c r="A28" s="1" t="str" cm="1">
        <f t="array" ref="A2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8" s="1" t="str" cm="1">
        <f t="array" ref="E2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8" s="1" t="str" cm="1">
        <f t="array" ref="M2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8" s="1" t="str" cm="1">
        <f t="array" ref="U2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8" s="1" t="str" cm="1">
        <f t="array" ref="AC2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28" s="10" t="str" cm="1">
        <f t="array" ref="AK2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8" s="1" t="str" cm="1">
        <f t="array" ref="AS2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8" s="1" t="str" cm="1">
        <f t="array" ref="BA28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29" spans="1:53" x14ac:dyDescent="0.2">
      <c r="A29" s="1" t="str" cm="1">
        <f t="array" ref="A2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29" s="1" t="str" cm="1">
        <f t="array" ref="E2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29" s="1" t="str" cm="1">
        <f t="array" ref="M2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29" s="1" t="str" cm="1">
        <f t="array" ref="U2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29" s="1" t="str" cm="1">
        <f t="array" ref="AC2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29" s="10" t="str" cm="1">
        <f t="array" ref="AK2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29" s="1" t="str" cm="1">
        <f t="array" ref="AS2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29" s="1" t="str" cm="1">
        <f t="array" ref="BA29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0" spans="1:53" x14ac:dyDescent="0.2">
      <c r="A30" s="1" t="str" cm="1">
        <f t="array" ref="A3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0" s="1" t="str" cm="1">
        <f t="array" ref="E3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0" s="1" t="str" cm="1">
        <f t="array" ref="M3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0" s="1" t="str" cm="1">
        <f t="array" ref="U3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0" s="1" t="str" cm="1">
        <f t="array" ref="AC3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0" s="10" t="str" cm="1">
        <f t="array" ref="AK3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0" s="1" t="str" cm="1">
        <f t="array" ref="AS3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0" s="1" t="str" cm="1">
        <f t="array" ref="BA30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1" spans="1:53" x14ac:dyDescent="0.2">
      <c r="A31" s="1" t="str" cm="1">
        <f t="array" ref="A3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1" s="1" t="str" cm="1">
        <f t="array" ref="E3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1" s="1" t="str" cm="1">
        <f t="array" ref="M3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1" s="1" t="str" cm="1">
        <f t="array" ref="U3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1" s="1" t="str" cm="1">
        <f t="array" ref="AC3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1" s="10" t="str" cm="1">
        <f t="array" ref="AK3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1" s="1" t="str" cm="1">
        <f t="array" ref="AS3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1" s="1" t="str" cm="1">
        <f t="array" ref="BA31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2" spans="1:53" x14ac:dyDescent="0.2">
      <c r="A32" s="1" t="str" cm="1">
        <f t="array" ref="A3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2" s="1" t="str" cm="1">
        <f t="array" ref="E3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2" s="1" t="str" cm="1">
        <f t="array" ref="M3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2" s="1" t="str" cm="1">
        <f t="array" ref="U3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2" s="1" t="str" cm="1">
        <f t="array" ref="AC3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2" s="10" t="str" cm="1">
        <f t="array" ref="AK3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2" s="1" t="str" cm="1">
        <f t="array" ref="AS3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2" s="1" t="str" cm="1">
        <f t="array" ref="BA32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3" spans="1:53" x14ac:dyDescent="0.2">
      <c r="A33" s="1" t="str" cm="1">
        <f t="array" ref="A3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3" s="1" t="str" cm="1">
        <f t="array" ref="E3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3" s="1" t="str" cm="1">
        <f t="array" ref="M3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3" s="1" t="str" cm="1">
        <f t="array" ref="U3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3" s="1" t="str" cm="1">
        <f t="array" ref="AC3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3" s="10" t="str" cm="1">
        <f t="array" ref="AK3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3" s="1" t="str" cm="1">
        <f t="array" ref="AS3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3" s="1" t="str" cm="1">
        <f t="array" ref="BA33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4" spans="1:53" x14ac:dyDescent="0.2">
      <c r="A34" s="1" t="str" cm="1">
        <f t="array" ref="A3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4" s="1" t="str" cm="1">
        <f t="array" ref="E3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4" s="1" t="str" cm="1">
        <f t="array" ref="M3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4" s="1" t="str" cm="1">
        <f t="array" ref="U3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4" s="1" t="str" cm="1">
        <f t="array" ref="AC3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4" s="10" t="str" cm="1">
        <f t="array" ref="AK3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4" s="1" t="str" cm="1">
        <f t="array" ref="AS3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4" s="1" t="str" cm="1">
        <f t="array" ref="BA3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5" spans="1:53" x14ac:dyDescent="0.2">
      <c r="A35" s="1" t="str" cm="1">
        <f t="array" ref="A3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5" s="1" t="str" cm="1">
        <f t="array" ref="E3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5" s="1" t="str" cm="1">
        <f t="array" ref="M3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5" s="1" t="str" cm="1">
        <f t="array" ref="U3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5" s="1" t="str" cm="1">
        <f t="array" ref="AC3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5" s="10" t="str" cm="1">
        <f t="array" ref="AK3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5" s="1" t="str" cm="1">
        <f t="array" ref="AS3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5" s="1" t="str" cm="1">
        <f t="array" ref="BA3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6" spans="1:53" x14ac:dyDescent="0.2">
      <c r="A36" s="1" t="str" cm="1">
        <f t="array" ref="A3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6" s="1" t="str" cm="1">
        <f t="array" ref="E3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6" s="1" t="str" cm="1">
        <f t="array" ref="M3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6" s="1" t="str" cm="1">
        <f t="array" ref="U3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6" s="1" t="str" cm="1">
        <f t="array" ref="AC3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6" s="10" t="str" cm="1">
        <f t="array" ref="AK3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6" s="1" t="str" cm="1">
        <f t="array" ref="AS3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6" s="1" t="str" cm="1">
        <f t="array" ref="BA36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7" spans="1:53" x14ac:dyDescent="0.2">
      <c r="A37" s="1" t="str" cm="1">
        <f t="array" ref="A3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7" s="1" t="str" cm="1">
        <f t="array" ref="E3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7" s="1" t="str" cm="1">
        <f t="array" ref="M3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7" s="1" t="str" cm="1">
        <f t="array" ref="U3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7" s="1" t="str" cm="1">
        <f t="array" ref="AC3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7" s="10" t="str" cm="1">
        <f t="array" ref="AK3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7" s="1" t="str" cm="1">
        <f t="array" ref="AS3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7" s="1" t="str" cm="1">
        <f t="array" ref="BA37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8" spans="1:53" x14ac:dyDescent="0.2">
      <c r="A38" s="1" t="str" cm="1">
        <f t="array" ref="A3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8" s="1" t="str" cm="1">
        <f t="array" ref="E3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8" s="1" t="str" cm="1">
        <f t="array" ref="M3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8" s="1" t="str" cm="1">
        <f t="array" ref="U3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8" s="1" t="str" cm="1">
        <f t="array" ref="AC3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8" s="10" t="str" cm="1">
        <f t="array" ref="AK3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8" s="1" t="str" cm="1">
        <f t="array" ref="AS3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8" s="1" t="str" cm="1">
        <f t="array" ref="BA38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39" spans="1:53" x14ac:dyDescent="0.2">
      <c r="A39" s="1" t="str" cm="1">
        <f t="array" ref="A3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39" s="1" t="str" cm="1">
        <f t="array" ref="E3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39" s="1" t="str" cm="1">
        <f t="array" ref="M3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39" s="1" t="str" cm="1">
        <f t="array" ref="U3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39" s="1" t="str" cm="1">
        <f t="array" ref="AC3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39" s="10" t="str" cm="1">
        <f t="array" ref="AK3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39" s="1" t="str" cm="1">
        <f t="array" ref="AS3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39" s="1" t="str" cm="1">
        <f t="array" ref="BA39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0" spans="1:53" x14ac:dyDescent="0.2">
      <c r="A40" s="1" t="str" cm="1">
        <f t="array" ref="A4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0" s="1" t="str" cm="1">
        <f t="array" ref="E4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0" s="1" t="str" cm="1">
        <f t="array" ref="M4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0" s="1" t="str" cm="1">
        <f t="array" ref="U4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0" s="1" t="str" cm="1">
        <f t="array" ref="AC4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0" s="10" t="str" cm="1">
        <f t="array" ref="AK4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0" s="1" t="str" cm="1">
        <f t="array" ref="AS4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0" s="1" t="str" cm="1">
        <f t="array" ref="BA40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1" spans="1:53" x14ac:dyDescent="0.2">
      <c r="A41" s="1" t="str" cm="1">
        <f t="array" ref="A4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1" s="1" t="str" cm="1">
        <f t="array" ref="E4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1" s="1" t="str" cm="1">
        <f t="array" ref="M4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1" s="1" t="str" cm="1">
        <f t="array" ref="U4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1" s="1" t="str" cm="1">
        <f t="array" ref="AC4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1" s="10" t="str" cm="1">
        <f t="array" ref="AK4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1" s="1" t="str" cm="1">
        <f t="array" ref="AS4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1" s="1" t="str" cm="1">
        <f t="array" ref="BA41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2" spans="1:53" x14ac:dyDescent="0.2">
      <c r="A42" s="1" t="str" cm="1">
        <f t="array" ref="A4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2" s="1" t="str" cm="1">
        <f t="array" ref="E4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2" s="1" t="str" cm="1">
        <f t="array" ref="M4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2" s="1" t="str" cm="1">
        <f t="array" ref="U4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2" s="1" t="str" cm="1">
        <f t="array" ref="AC4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2" s="10" t="str" cm="1">
        <f t="array" ref="AK4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2" s="1" t="str" cm="1">
        <f t="array" ref="AS4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2" s="1" t="str" cm="1">
        <f t="array" ref="BA42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3" spans="1:53" x14ac:dyDescent="0.2">
      <c r="A43" s="1" t="str" cm="1">
        <f t="array" ref="A4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3" s="1" t="str" cm="1">
        <f t="array" ref="E4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3" s="1" t="str" cm="1">
        <f t="array" ref="M4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3" s="1" t="str" cm="1">
        <f t="array" ref="U4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3" s="1" t="str" cm="1">
        <f t="array" ref="AC4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3" s="10" t="str" cm="1">
        <f t="array" ref="AK4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3" s="1" t="str" cm="1">
        <f t="array" ref="AS4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3" s="1" t="str" cm="1">
        <f t="array" ref="BA43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4" spans="1:53" x14ac:dyDescent="0.2">
      <c r="A44" s="1" t="str" cm="1">
        <f t="array" ref="A4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4" s="1" t="str" cm="1">
        <f t="array" ref="E4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4" s="1" t="str" cm="1">
        <f t="array" ref="M4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4" s="1" t="str" cm="1">
        <f t="array" ref="U4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4" s="1" t="str" cm="1">
        <f t="array" ref="AC4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4" s="10" t="str" cm="1">
        <f t="array" ref="AK4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4" s="1" t="str" cm="1">
        <f t="array" ref="AS4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4" s="1" t="str" cm="1">
        <f t="array" ref="BA4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5" spans="1:53" x14ac:dyDescent="0.2">
      <c r="A45" s="1" t="str" cm="1">
        <f t="array" ref="A4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5" s="1" t="str" cm="1">
        <f t="array" ref="E4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5" s="1" t="str" cm="1">
        <f t="array" ref="M4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5" s="1" t="str" cm="1">
        <f t="array" ref="U4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5" s="1" t="str" cm="1">
        <f t="array" ref="AC4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5" s="10" t="str" cm="1">
        <f t="array" ref="AK4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5" s="1" t="str" cm="1">
        <f t="array" ref="AS4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5" s="1" t="str" cm="1">
        <f t="array" ref="BA4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6" spans="1:53" x14ac:dyDescent="0.2">
      <c r="A46" s="1" t="str" cm="1">
        <f t="array" ref="A46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6" s="1" t="str" cm="1">
        <f t="array" ref="E46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6" s="1" t="str" cm="1">
        <f t="array" ref="M46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6" s="1" t="str" cm="1">
        <f t="array" ref="U4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6" s="1" t="str" cm="1">
        <f t="array" ref="AC46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6" s="10" t="str" cm="1">
        <f t="array" ref="AK46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6" s="1" t="str" cm="1">
        <f t="array" ref="AS46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6" s="1" t="str" cm="1">
        <f t="array" ref="BA46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7" spans="1:53" x14ac:dyDescent="0.2">
      <c r="A47" s="1" t="str" cm="1">
        <f t="array" ref="A47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7" s="1" t="str" cm="1">
        <f t="array" ref="E47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7" s="1" t="str" cm="1">
        <f t="array" ref="M47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7" s="1" t="str" cm="1">
        <f t="array" ref="U4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7" s="1" t="str" cm="1">
        <f t="array" ref="AC47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7" s="10" t="str" cm="1">
        <f t="array" ref="AK47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7" s="1" t="str" cm="1">
        <f t="array" ref="AS47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7" s="1" t="str" cm="1">
        <f t="array" ref="BA47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8" spans="1:53" x14ac:dyDescent="0.2">
      <c r="A48" s="1" t="str" cm="1">
        <f t="array" ref="A48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8" s="1" t="str" cm="1">
        <f t="array" ref="E48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8" s="1" t="str" cm="1">
        <f t="array" ref="M48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8" s="1" t="str" cm="1">
        <f t="array" ref="U4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8" s="1" t="str" cm="1">
        <f t="array" ref="AC48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8" s="10" t="str" cm="1">
        <f t="array" ref="AK48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8" s="1" t="str" cm="1">
        <f t="array" ref="AS48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8" s="1" t="str" cm="1">
        <f t="array" ref="BA48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49" spans="1:53" x14ac:dyDescent="0.2">
      <c r="A49" s="1" t="str" cm="1">
        <f t="array" ref="A49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49" s="1" t="str" cm="1">
        <f t="array" ref="E49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49" s="1" t="str" cm="1">
        <f t="array" ref="M49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49" s="1" t="str" cm="1">
        <f t="array" ref="U4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49" s="1" t="str" cm="1">
        <f t="array" ref="AC49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49" s="10" t="str" cm="1">
        <f t="array" ref="AK49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49" s="1" t="str" cm="1">
        <f t="array" ref="AS49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49" s="1" t="str" cm="1">
        <f t="array" ref="BA49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0" spans="1:53" x14ac:dyDescent="0.2">
      <c r="A50" s="1" t="str" cm="1">
        <f t="array" ref="A50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0" s="1" t="str" cm="1">
        <f t="array" ref="E50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0" s="1" t="str" cm="1">
        <f t="array" ref="M50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0" s="1" t="str" cm="1">
        <f t="array" ref="U5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0" s="1" t="str" cm="1">
        <f t="array" ref="AC50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0" s="10" t="str" cm="1">
        <f t="array" ref="AK50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0" s="1" t="str" cm="1">
        <f t="array" ref="AS50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0" s="1" t="str" cm="1">
        <f t="array" ref="BA50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1" spans="1:53" x14ac:dyDescent="0.2">
      <c r="A51" s="1" t="str" cm="1">
        <f t="array" ref="A51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1" s="1" t="str" cm="1">
        <f t="array" ref="E51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1" s="1" t="str" cm="1">
        <f t="array" ref="M51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1" s="1" t="str" cm="1">
        <f t="array" ref="U5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1" s="1" t="str" cm="1">
        <f t="array" ref="AC51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1" s="10" t="str" cm="1">
        <f t="array" ref="AK51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1" s="1" t="str" cm="1">
        <f t="array" ref="AS51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1" s="1" t="str" cm="1">
        <f t="array" ref="BA51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2" spans="1:53" x14ac:dyDescent="0.2">
      <c r="A52" s="1" t="str" cm="1">
        <f t="array" ref="A52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2" s="1" t="str" cm="1">
        <f t="array" ref="E52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2" s="1" t="str" cm="1">
        <f t="array" ref="M52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2" s="1" t="str" cm="1">
        <f t="array" ref="U5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2" s="1" t="str" cm="1">
        <f t="array" ref="AC52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2" s="10" t="str" cm="1">
        <f t="array" ref="AK52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2" s="1" t="str" cm="1">
        <f t="array" ref="AS52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2" s="1" t="str" cm="1">
        <f t="array" ref="BA52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3" spans="1:53" x14ac:dyDescent="0.2">
      <c r="A53" s="1" t="str" cm="1">
        <f t="array" ref="A53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3" s="1" t="str" cm="1">
        <f t="array" ref="E53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3" s="1" t="str" cm="1">
        <f t="array" ref="M53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3" s="1" t="str" cm="1">
        <f t="array" ref="U5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3" s="1" t="str" cm="1">
        <f t="array" ref="AC53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3" s="10" t="str" cm="1">
        <f t="array" ref="AK53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3" s="1" t="str" cm="1">
        <f t="array" ref="AS53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3" s="1" t="str" cm="1">
        <f t="array" ref="BA53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4" spans="1:53" x14ac:dyDescent="0.2">
      <c r="A54" s="1" t="str" cm="1">
        <f t="array" ref="A54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4" s="1" t="str" cm="1">
        <f t="array" ref="E54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4" s="1" t="str" cm="1">
        <f t="array" ref="M54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4" s="1" t="str" cm="1">
        <f t="array" ref="U5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4" s="1" t="str" cm="1">
        <f t="array" ref="AC54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4" s="10" t="str" cm="1">
        <f t="array" ref="AK54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4" s="1" t="str" cm="1">
        <f t="array" ref="AS54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4" s="1" t="str" cm="1">
        <f t="array" ref="BA54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  <row r="55" spans="1:53" x14ac:dyDescent="0.2">
      <c r="A55" s="1" t="str" cm="1">
        <f t="array" ref="A55">_xlfn.LET(
  _xlpm.r,ROW()-ROW($A$4)+1,
  _xlpm.n,ROWS(_xlfn.ANCHORARRAY($B$4)),
  IF(_xlpm.r&gt;_xlpm.n,"",
    _xlfn.LET(
      _xlpm.this,INDEX(_xlfn.ANCHORARRAY($B$4),_xlpm.r,2),
      _xlpm.pts,INDEX(_xlfn.ANCHORARRAY($B$4),0,2),
      IF(_xlpm.this="","",1+COUNTIF(_xlpm.pts,"&gt;"&amp;_xlpm.this))
    )
  )
)</f>
        <v/>
      </c>
      <c r="E55" s="1" t="str" cm="1">
        <f t="array" ref="E55">_xlfn.LET(
  _xlpm.r,ROW()-ROW($E$4)+1,
  _xlpm.n,ROWS(_xlfn.ANCHORARRAY($F$4)),
  IF(_xlpm.r&gt;_xlpm.n,"",
    _xlfn.LET(
      _xlpm.this,INDEX(_xlfn.ANCHORARRAY($F$4),_xlpm.r,6),
      _xlpm.pts,INDEX(_xlfn.ANCHORARRAY($F$4),0,6),
      IF(_xlpm.this="","",1+COUNTIF(_xlpm.pts,"&gt;"&amp;_xlpm.this))
    )
  )
)</f>
        <v/>
      </c>
      <c r="M55" s="1" t="str" cm="1">
        <f t="array" ref="M55">_xlfn.LET(
  _xlpm.r,ROW()-ROW($M$4)+1,
  _xlpm.n,ROWS(_xlfn.ANCHORARRAY($N$4)),
  IF(_xlpm.r&gt;_xlpm.n,"",
    _xlfn.LET(
      _xlpm.this,INDEX(_xlfn.ANCHORARRAY($N$4),_xlpm.r,6),
      _xlpm.pts,INDEX(_xlfn.ANCHORARRAY($N$4),0,6),
      IF(_xlpm.this="","",1+COUNTIF(_xlpm.pts,"&gt;"&amp;_xlpm.this))
    )
  )
)</f>
        <v/>
      </c>
      <c r="U55" s="1" t="str" cm="1">
        <f t="array" ref="U5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C55" s="1" t="str" cm="1">
        <f t="array" ref="AC55">_xlfn.LET(
  _xlpm.r,ROW()-ROW($U$4)+1,
  _xlpm.n,ROWS(_xlfn.ANCHORARRAY($V$4)),
  IF(_xlpm.r&gt;_xlpm.n,"",
    _xlfn.LET(
      _xlpm.this,INDEX(_xlfn.ANCHORARRAY($V$4),_xlpm.r,6),
      _xlpm.pts,INDEX(_xlfn.ANCHORARRAY($V$4),0,6),
      IF(_xlpm.this="","",1+COUNTIF(_xlpm.pts,"&gt;"&amp;_xlpm.this))
    )
  )
)</f>
        <v/>
      </c>
      <c r="AK55" s="10" t="str" cm="1">
        <f t="array" ref="AK55">_xlfn.LET(
  _xlpm.r,ROW()-ROW($AK$4)+1,
  _xlpm.n,ROWS(_xlfn.ANCHORARRAY($AL$4)),
  IF(_xlpm.r&gt;_xlpm.n,"",
    _xlfn.LET(
      _xlpm.this,INDEX(_xlfn.ANCHORARRAY($AL$4),_xlpm.r,6),
      _xlpm.pts,INDEX(_xlfn.ANCHORARRAY($AL$4),0,6),
      IF(_xlpm.this="","",1+COUNTIF(_xlpm.pts,"&gt;"&amp;_xlpm.this))
    )
  )
)</f>
        <v/>
      </c>
      <c r="AS55" s="1" t="str" cm="1">
        <f t="array" ref="AS55">_xlfn.LET(
  _xlpm.r,ROW()-ROW($AS$4)+1,
  _xlpm.n,ROWS(_xlfn.ANCHORARRAY($AT$4)),
  IF(_xlpm.r&gt;_xlpm.n,"",
    _xlfn.LET(
      _xlpm.this,INDEX(_xlfn.ANCHORARRAY($AT$4),_xlpm.r,6),
      _xlpm.pts,INDEX(_xlfn.ANCHORARRAY($AT$4),0,6),
      IF(_xlpm.this="","",1+COUNTIF(_xlpm.pts,"&gt;"&amp;_xlpm.this))
    )
  )
)</f>
        <v/>
      </c>
      <c r="BA55" s="1" t="str" cm="1">
        <f t="array" ref="BA55">_xlfn.LET(
  _xlpm.r,ROW()-ROW($BA$4)+1,
  _xlpm.n,ROWS(_xlfn.ANCHORARRAY($BB$4)),
  IF(_xlpm.r&gt;_xlpm.n,"",
    _xlfn.LET(
      _xlpm.this,INDEX(_xlfn.ANCHORARRAY($BB$4),_xlpm.r,6),
      _xlpm.pts,INDEX(_xlfn.ANCHORARRAY($BB$4),0,6),
      IF(_xlpm.this="","",1+COUNTIF(_xlpm.pts,"&gt;"&amp;_xlpm.this))
    )
  )
)</f>
        <v/>
      </c>
    </row>
  </sheetData>
  <sheetProtection sheet="1" objects="1" scenarios="1"/>
  <mergeCells count="8">
    <mergeCell ref="BA1:BG1"/>
    <mergeCell ref="A1:C1"/>
    <mergeCell ref="E1:K1"/>
    <mergeCell ref="M1:S1"/>
    <mergeCell ref="U1:AA1"/>
    <mergeCell ref="AK1:AQ1"/>
    <mergeCell ref="AS1:AY1"/>
    <mergeCell ref="AC1:AI1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E3A2-8801-7547-9B9E-15FA3FEE1B3D}">
  <sheetPr>
    <pageSetUpPr fitToPage="1"/>
  </sheetPr>
  <dimension ref="B1:L89"/>
  <sheetViews>
    <sheetView topLeftCell="A24" workbookViewId="0">
      <selection activeCell="Q24" sqref="Q24"/>
    </sheetView>
  </sheetViews>
  <sheetFormatPr baseColWidth="10" defaultRowHeight="15" x14ac:dyDescent="0.2"/>
  <cols>
    <col min="1" max="1" width="3.5" customWidth="1"/>
    <col min="2" max="2" width="9" style="1" customWidth="1"/>
    <col min="3" max="3" width="19.33203125" bestFit="1" customWidth="1"/>
    <col min="4" max="4" width="10.83203125" style="1"/>
    <col min="5" max="5" width="6.33203125" customWidth="1"/>
    <col min="6" max="6" width="7" customWidth="1"/>
    <col min="7" max="7" width="21.33203125" customWidth="1"/>
    <col min="8" max="8" width="5.6640625" style="1" customWidth="1"/>
    <col min="9" max="9" width="10.83203125" style="4"/>
    <col min="10" max="12" width="10" style="1" customWidth="1"/>
  </cols>
  <sheetData>
    <row r="1" spans="2:12" ht="21" x14ac:dyDescent="0.25">
      <c r="B1" s="11" t="s">
        <v>92</v>
      </c>
    </row>
    <row r="2" spans="2:12" ht="7" customHeight="1" x14ac:dyDescent="0.25">
      <c r="B2" s="11"/>
    </row>
    <row r="3" spans="2:12" ht="21" x14ac:dyDescent="0.25">
      <c r="B3" s="11" t="s">
        <v>105</v>
      </c>
    </row>
    <row r="4" spans="2:12" ht="11" customHeight="1" x14ac:dyDescent="0.2"/>
    <row r="5" spans="2:12" ht="20" thickBot="1" x14ac:dyDescent="0.3">
      <c r="B5" s="22" t="s">
        <v>88</v>
      </c>
      <c r="C5" s="22"/>
      <c r="D5" s="22"/>
      <c r="F5" s="22" t="s">
        <v>89</v>
      </c>
      <c r="G5" s="22"/>
      <c r="H5" s="22"/>
      <c r="I5" s="22"/>
      <c r="J5" s="22"/>
      <c r="K5" s="22"/>
      <c r="L5" s="22"/>
    </row>
    <row r="6" spans="2:12" x14ac:dyDescent="0.2">
      <c r="B6" s="3" t="s">
        <v>23</v>
      </c>
      <c r="C6" s="7" t="s">
        <v>24</v>
      </c>
      <c r="D6" s="3" t="s">
        <v>27</v>
      </c>
      <c r="E6" s="3"/>
      <c r="F6" s="3" t="s">
        <v>44</v>
      </c>
      <c r="G6" s="7" t="s">
        <v>24</v>
      </c>
      <c r="H6" s="3" t="s">
        <v>45</v>
      </c>
      <c r="I6" s="9" t="s">
        <v>25</v>
      </c>
      <c r="J6" s="3" t="s">
        <v>46</v>
      </c>
      <c r="K6" s="3" t="s">
        <v>33</v>
      </c>
      <c r="L6" s="3" t="s">
        <v>26</v>
      </c>
    </row>
    <row r="7" spans="2:12" ht="7" customHeight="1" x14ac:dyDescent="0.2">
      <c r="B7" s="3"/>
      <c r="C7" s="3"/>
      <c r="D7" s="3"/>
      <c r="E7" s="3"/>
      <c r="F7" s="3"/>
      <c r="G7" s="3"/>
      <c r="H7" s="3"/>
      <c r="I7" s="9"/>
      <c r="J7" s="3"/>
      <c r="K7" s="3"/>
      <c r="L7" s="3"/>
    </row>
    <row r="8" spans="2:12" x14ac:dyDescent="0.2">
      <c r="B8" s="1" cm="1">
        <f t="array" ref="B8">_xlfn.ANCHORARRAY('Results - A'!A4)</f>
        <v>1</v>
      </c>
      <c r="C8" t="str" cm="1">
        <f t="array" ref="C8:D34">_xlfn.ANCHORARRAY('Results - A'!B4)</f>
        <v>Henrik Persson</v>
      </c>
      <c r="D8" s="1">
        <v>150</v>
      </c>
      <c r="F8" s="1" cm="1">
        <f t="array" ref="F8">_xlfn.ANCHORARRAY('Results - A'!E4)</f>
        <v>1</v>
      </c>
      <c r="G8" t="str" cm="1">
        <f t="array" ref="G8:L34">_xlfn.ANCHORARRAY('Results - A'!F4)</f>
        <v>Chris Jenkins</v>
      </c>
      <c r="H8" s="1">
        <v>7</v>
      </c>
      <c r="I8" s="4">
        <v>2.3865740740740739E-2</v>
      </c>
      <c r="J8" s="1">
        <v>24</v>
      </c>
      <c r="K8" s="1">
        <v>6</v>
      </c>
      <c r="L8" s="1">
        <v>30</v>
      </c>
    </row>
    <row r="9" spans="2:12" x14ac:dyDescent="0.2">
      <c r="B9" s="1" cm="1">
        <f t="array" ref="B9">_xlfn.ANCHORARRAY('Results - A'!A5)</f>
        <v>1</v>
      </c>
      <c r="C9" t="str">
        <v>Matt de Freitas</v>
      </c>
      <c r="D9" s="1">
        <v>150</v>
      </c>
      <c r="F9" s="1" cm="1">
        <f t="array" ref="F9">_xlfn.ANCHORARRAY('Results - A'!E5)</f>
        <v>1</v>
      </c>
      <c r="G9" t="str">
        <v>Henrik Persson</v>
      </c>
      <c r="H9" s="1">
        <v>6</v>
      </c>
      <c r="I9" s="4">
        <v>2.3831018518518519E-2</v>
      </c>
      <c r="J9" s="1">
        <v>25</v>
      </c>
      <c r="K9" s="1">
        <v>6</v>
      </c>
      <c r="L9" s="1">
        <v>30</v>
      </c>
    </row>
    <row r="10" spans="2:12" x14ac:dyDescent="0.2">
      <c r="B10" s="1" cm="1">
        <f t="array" ref="B10">_xlfn.ANCHORARRAY('Results - A'!A6)</f>
        <v>3</v>
      </c>
      <c r="C10" t="str">
        <v>Judah Rand</v>
      </c>
      <c r="D10" s="1">
        <v>147</v>
      </c>
      <c r="F10" s="1" cm="1">
        <f t="array" ref="F10">_xlfn.ANCHORARRAY('Results - A'!E6)</f>
        <v>1</v>
      </c>
      <c r="G10" t="str">
        <v>Judah Rand</v>
      </c>
      <c r="H10" s="1">
        <v>1</v>
      </c>
      <c r="I10" s="4">
        <v>2.3715277777777776E-2</v>
      </c>
      <c r="J10" s="1">
        <v>30</v>
      </c>
      <c r="K10" s="1">
        <v>0</v>
      </c>
      <c r="L10" s="1">
        <v>30</v>
      </c>
    </row>
    <row r="11" spans="2:12" x14ac:dyDescent="0.2">
      <c r="B11" s="1" cm="1">
        <f t="array" ref="B11">_xlfn.ANCHORARRAY('Results - A'!A7)</f>
        <v>4</v>
      </c>
      <c r="C11" t="str">
        <v>Tom Herbert</v>
      </c>
      <c r="D11" s="1">
        <v>143</v>
      </c>
      <c r="F11" s="1" cm="1">
        <f t="array" ref="F11">_xlfn.ANCHORARRAY('Results - A'!E7)</f>
        <v>1</v>
      </c>
      <c r="G11" t="str">
        <v>Matt de Freitas</v>
      </c>
      <c r="H11" s="1">
        <v>3</v>
      </c>
      <c r="I11" s="4">
        <v>2.3726851851851853E-2</v>
      </c>
      <c r="J11" s="1">
        <v>28</v>
      </c>
      <c r="K11" s="1">
        <v>6</v>
      </c>
      <c r="L11" s="1">
        <v>30</v>
      </c>
    </row>
    <row r="12" spans="2:12" x14ac:dyDescent="0.2">
      <c r="B12" s="1" cm="1">
        <f t="array" ref="B12">_xlfn.ANCHORARRAY('Results - A'!A8)</f>
        <v>5</v>
      </c>
      <c r="C12" t="str">
        <v>Neil Grunshaw</v>
      </c>
      <c r="D12" s="1">
        <v>141</v>
      </c>
      <c r="F12" s="1" cm="1">
        <f t="array" ref="F12">_xlfn.ANCHORARRAY('Results - A'!E8)</f>
        <v>5</v>
      </c>
      <c r="G12" t="str">
        <v>David Wong</v>
      </c>
      <c r="H12" s="1">
        <v>14</v>
      </c>
      <c r="I12" s="4">
        <v>2.476851851851852E-2</v>
      </c>
      <c r="J12" s="1">
        <v>17</v>
      </c>
      <c r="K12" s="1">
        <v>12</v>
      </c>
      <c r="L12" s="1">
        <v>29</v>
      </c>
    </row>
    <row r="13" spans="2:12" x14ac:dyDescent="0.2">
      <c r="B13" s="1" cm="1">
        <f t="array" ref="B13">_xlfn.ANCHORARRAY('Results - A'!A9)</f>
        <v>5</v>
      </c>
      <c r="C13" t="str">
        <v>Tom Kennett</v>
      </c>
      <c r="D13" s="1">
        <v>141</v>
      </c>
      <c r="F13" s="1" cm="1">
        <f t="array" ref="F13">_xlfn.ANCHORARRAY('Results - A'!E9)</f>
        <v>5</v>
      </c>
      <c r="G13" t="str">
        <v>Seb Ashton</v>
      </c>
      <c r="H13" s="1">
        <v>2</v>
      </c>
      <c r="I13" s="4">
        <v>2.3726851851851853E-2</v>
      </c>
      <c r="J13" s="1">
        <v>29</v>
      </c>
      <c r="K13" s="1">
        <v>0</v>
      </c>
      <c r="L13" s="1">
        <v>29</v>
      </c>
    </row>
    <row r="14" spans="2:12" x14ac:dyDescent="0.2">
      <c r="B14" s="1" cm="1">
        <f t="array" ref="B14">_xlfn.ANCHORARRAY('Results - A'!A10)</f>
        <v>7</v>
      </c>
      <c r="C14" t="str">
        <v>David Wong</v>
      </c>
      <c r="D14" s="1">
        <v>139</v>
      </c>
      <c r="F14" s="1" cm="1">
        <f t="array" ref="F14">_xlfn.ANCHORARRAY('Results - A'!E10)</f>
        <v>5</v>
      </c>
      <c r="G14" t="str">
        <v>Tom Herbert</v>
      </c>
      <c r="H14" s="1">
        <v>8</v>
      </c>
      <c r="I14" s="4">
        <v>2.3912037037037037E-2</v>
      </c>
      <c r="J14" s="1">
        <v>23</v>
      </c>
      <c r="K14" s="1">
        <v>6</v>
      </c>
      <c r="L14" s="1">
        <v>29</v>
      </c>
    </row>
    <row r="15" spans="2:12" x14ac:dyDescent="0.2">
      <c r="B15" s="1" cm="1">
        <f t="array" ref="B15">_xlfn.ANCHORARRAY('Results - A'!A11)</f>
        <v>8</v>
      </c>
      <c r="C15" t="str">
        <v>Chris Jenkins</v>
      </c>
      <c r="D15" s="1">
        <v>138</v>
      </c>
      <c r="F15" s="1" cm="1">
        <f t="array" ref="F15">_xlfn.ANCHORARRAY('Results - A'!E11)</f>
        <v>8</v>
      </c>
      <c r="G15" t="str">
        <v>Neil Grunshaw</v>
      </c>
      <c r="H15" s="1">
        <v>9</v>
      </c>
      <c r="I15" s="4">
        <v>2.4016203703703703E-2</v>
      </c>
      <c r="J15" s="1">
        <v>22</v>
      </c>
      <c r="K15" s="1">
        <v>6</v>
      </c>
      <c r="L15" s="1">
        <v>28</v>
      </c>
    </row>
    <row r="16" spans="2:12" x14ac:dyDescent="0.2">
      <c r="B16" s="1" cm="1">
        <f t="array" ref="B16">_xlfn.ANCHORARRAY('Results - A'!A12)</f>
        <v>8</v>
      </c>
      <c r="C16" t="str">
        <v>Neal Beauchamp</v>
      </c>
      <c r="D16" s="1">
        <v>138</v>
      </c>
      <c r="F16" s="1" cm="1">
        <f t="array" ref="F16">_xlfn.ANCHORARRAY('Results - A'!E12)</f>
        <v>9</v>
      </c>
      <c r="G16" t="str">
        <v>Bill McClatchie</v>
      </c>
      <c r="H16" s="1">
        <v>16</v>
      </c>
      <c r="I16" s="4">
        <v>2.4976851851851851E-2</v>
      </c>
      <c r="J16" s="1">
        <v>15</v>
      </c>
      <c r="K16" s="1">
        <v>12</v>
      </c>
      <c r="L16" s="1">
        <v>27</v>
      </c>
    </row>
    <row r="17" spans="2:12" x14ac:dyDescent="0.2">
      <c r="B17" s="1" cm="1">
        <f t="array" ref="B17">_xlfn.ANCHORARRAY('Results - A'!A13)</f>
        <v>8</v>
      </c>
      <c r="C17" t="str">
        <v>Seb Ashton</v>
      </c>
      <c r="D17" s="1">
        <v>138</v>
      </c>
      <c r="F17" s="1" cm="1">
        <f t="array" ref="F17">_xlfn.ANCHORARRAY('Results - A'!E13)</f>
        <v>9</v>
      </c>
      <c r="G17" t="str">
        <v>Tom Kennett</v>
      </c>
      <c r="H17" s="1">
        <v>4</v>
      </c>
      <c r="I17" s="4">
        <v>2.3726851851851853E-2</v>
      </c>
      <c r="J17" s="1">
        <v>27</v>
      </c>
      <c r="K17" s="1">
        <v>0</v>
      </c>
      <c r="L17" s="1">
        <v>27</v>
      </c>
    </row>
    <row r="18" spans="2:12" x14ac:dyDescent="0.2">
      <c r="B18" s="1" cm="1">
        <f t="array" ref="B18">_xlfn.ANCHORARRAY('Results - A'!A14)</f>
        <v>11</v>
      </c>
      <c r="C18" t="str">
        <v>James Bowden</v>
      </c>
      <c r="D18" s="1">
        <v>134</v>
      </c>
      <c r="F18" s="1" cm="1">
        <f t="array" ref="F18">_xlfn.ANCHORARRAY('Results - A'!E14)</f>
        <v>11</v>
      </c>
      <c r="G18" t="str">
        <v>Eamon Mason</v>
      </c>
      <c r="H18" s="1">
        <v>17</v>
      </c>
      <c r="I18" s="4">
        <v>2.4988425925925924E-2</v>
      </c>
      <c r="J18" s="1">
        <v>14</v>
      </c>
      <c r="K18" s="1">
        <v>12</v>
      </c>
      <c r="L18" s="1">
        <v>26</v>
      </c>
    </row>
    <row r="19" spans="2:12" x14ac:dyDescent="0.2">
      <c r="B19" s="1" cm="1">
        <f t="array" ref="B19">_xlfn.ANCHORARRAY('Results - A'!A15)</f>
        <v>12</v>
      </c>
      <c r="C19" t="str">
        <v>Raif Oz</v>
      </c>
      <c r="D19" s="1">
        <v>129</v>
      </c>
      <c r="F19" s="1" cm="1">
        <f t="array" ref="F19">_xlfn.ANCHORARRAY('Results - A'!E15)</f>
        <v>11</v>
      </c>
      <c r="G19" t="str">
        <v>Neal Beauchamp</v>
      </c>
      <c r="H19" s="1">
        <v>11</v>
      </c>
      <c r="I19" s="4">
        <v>2.431712962962963E-2</v>
      </c>
      <c r="J19" s="1">
        <v>20</v>
      </c>
      <c r="K19" s="1">
        <v>6</v>
      </c>
      <c r="L19" s="1">
        <v>26</v>
      </c>
    </row>
    <row r="20" spans="2:12" x14ac:dyDescent="0.2">
      <c r="B20" s="1" cm="1">
        <f t="array" ref="B20">_xlfn.ANCHORARRAY('Results - A'!A16)</f>
        <v>13</v>
      </c>
      <c r="C20" t="str">
        <v>Alex Robertson</v>
      </c>
      <c r="D20" s="1">
        <v>128</v>
      </c>
      <c r="F20" s="1" cm="1">
        <f t="array" ref="F20">_xlfn.ANCHORARRAY('Results - A'!E16)</f>
        <v>11</v>
      </c>
      <c r="G20" t="str">
        <v>Raif Oz</v>
      </c>
      <c r="H20" s="1">
        <v>5</v>
      </c>
      <c r="I20" s="4">
        <v>2.3726851851851853E-2</v>
      </c>
      <c r="J20" s="1">
        <v>26</v>
      </c>
      <c r="K20" s="1">
        <v>0</v>
      </c>
      <c r="L20" s="1">
        <v>26</v>
      </c>
    </row>
    <row r="21" spans="2:12" x14ac:dyDescent="0.2">
      <c r="B21" s="1" cm="1">
        <f t="array" ref="B21">_xlfn.ANCHORARRAY('Results - A'!A17)</f>
        <v>13</v>
      </c>
      <c r="C21" t="str">
        <v>Denis Whelan</v>
      </c>
      <c r="D21" s="1">
        <v>128</v>
      </c>
      <c r="F21" s="1" cm="1">
        <f t="array" ref="F21">_xlfn.ANCHORARRAY('Results - A'!E17)</f>
        <v>14</v>
      </c>
      <c r="G21" t="str">
        <v>Denis Whelan</v>
      </c>
      <c r="H21" s="1">
        <v>12</v>
      </c>
      <c r="I21" s="4">
        <v>2.4432870370370369E-2</v>
      </c>
      <c r="J21" s="1">
        <v>19</v>
      </c>
      <c r="K21" s="1">
        <v>6</v>
      </c>
      <c r="L21" s="1">
        <v>25</v>
      </c>
    </row>
    <row r="22" spans="2:12" x14ac:dyDescent="0.2">
      <c r="B22" s="1" cm="1">
        <f t="array" ref="B22">_xlfn.ANCHORARRAY('Results - A'!A18)</f>
        <v>15</v>
      </c>
      <c r="C22" t="str">
        <v>Eamon Mason</v>
      </c>
      <c r="D22" s="1">
        <v>125</v>
      </c>
      <c r="F22" s="1" cm="1">
        <f t="array" ref="F22">_xlfn.ANCHORARRAY('Results - A'!E18)</f>
        <v>14</v>
      </c>
      <c r="G22" t="str">
        <v>James Bowden</v>
      </c>
      <c r="H22" s="1">
        <v>18</v>
      </c>
      <c r="I22" s="4">
        <v>2.5000000000000001E-2</v>
      </c>
      <c r="J22" s="1">
        <v>13</v>
      </c>
      <c r="K22" s="1">
        <v>12</v>
      </c>
      <c r="L22" s="1">
        <v>25</v>
      </c>
    </row>
    <row r="23" spans="2:12" x14ac:dyDescent="0.2">
      <c r="B23" s="1" cm="1">
        <f t="array" ref="B23">_xlfn.ANCHORARRAY('Results - A'!A19)</f>
        <v>16</v>
      </c>
      <c r="C23" t="str">
        <v>Alex Tate</v>
      </c>
      <c r="D23" s="1">
        <v>122</v>
      </c>
      <c r="F23" s="1" cm="1">
        <f t="array" ref="F23">_xlfn.ANCHORARRAY('Results - A'!E19)</f>
        <v>16</v>
      </c>
      <c r="G23" t="str">
        <v>Alex Robertson</v>
      </c>
      <c r="H23" s="1">
        <v>19</v>
      </c>
      <c r="I23" s="4">
        <v>2.5092592592592593E-2</v>
      </c>
      <c r="J23" s="1">
        <v>12</v>
      </c>
      <c r="K23" s="1">
        <v>12</v>
      </c>
      <c r="L23" s="1">
        <v>24</v>
      </c>
    </row>
    <row r="24" spans="2:12" x14ac:dyDescent="0.2">
      <c r="B24" s="1" cm="1">
        <f t="array" ref="B24">_xlfn.ANCHORARRAY('Results - A'!A20)</f>
        <v>17</v>
      </c>
      <c r="C24" t="str">
        <v>Bill McClatchie</v>
      </c>
      <c r="D24" s="1">
        <v>121</v>
      </c>
      <c r="F24" s="1" cm="1">
        <f t="array" ref="F24">_xlfn.ANCHORARRAY('Results - A'!E20)</f>
        <v>16</v>
      </c>
      <c r="G24" t="str">
        <v>Jonny Bodey</v>
      </c>
      <c r="H24" s="1">
        <v>13</v>
      </c>
      <c r="I24" s="4">
        <v>2.4687500000000001E-2</v>
      </c>
      <c r="J24" s="1">
        <v>18</v>
      </c>
      <c r="K24" s="1">
        <v>6</v>
      </c>
      <c r="L24" s="1">
        <v>24</v>
      </c>
    </row>
    <row r="25" spans="2:12" x14ac:dyDescent="0.2">
      <c r="B25" s="1" cm="1">
        <f t="array" ref="B25">_xlfn.ANCHORARRAY('Results - A'!A21)</f>
        <v>18</v>
      </c>
      <c r="C25" t="str">
        <v>Jonny Bodey</v>
      </c>
      <c r="D25" s="1">
        <v>120</v>
      </c>
      <c r="F25" s="1" cm="1">
        <f t="array" ref="F25">_xlfn.ANCHORARRAY('Results - A'!E21)</f>
        <v>18</v>
      </c>
      <c r="G25" t="str">
        <v>Alex Tate</v>
      </c>
      <c r="H25" s="1">
        <v>20</v>
      </c>
      <c r="I25" s="4">
        <v>2.5127314814814814E-2</v>
      </c>
      <c r="J25" s="1">
        <v>11</v>
      </c>
      <c r="K25" s="1">
        <v>12</v>
      </c>
      <c r="L25" s="1">
        <v>23</v>
      </c>
    </row>
    <row r="26" spans="2:12" x14ac:dyDescent="0.2">
      <c r="B26" s="1" cm="1">
        <f t="array" ref="B26">_xlfn.ANCHORARRAY('Results - A'!A22)</f>
        <v>19</v>
      </c>
      <c r="C26" t="str">
        <v>Gordon Reid</v>
      </c>
      <c r="D26" s="1">
        <v>118</v>
      </c>
      <c r="F26" s="1" cm="1">
        <f t="array" ref="F26">_xlfn.ANCHORARRAY('Results - A'!E22)</f>
        <v>19</v>
      </c>
      <c r="G26" t="str">
        <v>Tobi Rosenkranz</v>
      </c>
      <c r="H26" s="1">
        <v>15</v>
      </c>
      <c r="I26" s="4">
        <v>2.4884259259259259E-2</v>
      </c>
      <c r="J26" s="1">
        <v>16</v>
      </c>
      <c r="K26" s="1">
        <v>6</v>
      </c>
      <c r="L26" s="1">
        <v>22</v>
      </c>
    </row>
    <row r="27" spans="2:12" x14ac:dyDescent="0.2">
      <c r="B27" s="1" cm="1">
        <f t="array" ref="B27">_xlfn.ANCHORARRAY('Results - A'!A23)</f>
        <v>20</v>
      </c>
      <c r="C27" t="str">
        <v>James Armitage-Hobbs</v>
      </c>
      <c r="D27" s="1">
        <v>113</v>
      </c>
      <c r="F27" s="1" cm="1">
        <f t="array" ref="F27">_xlfn.ANCHORARRAY('Results - A'!E23)</f>
        <v>20</v>
      </c>
      <c r="G27" t="str">
        <v>Conor Walsh</v>
      </c>
      <c r="H27" s="1">
        <v>10</v>
      </c>
      <c r="I27" s="4">
        <v>2.4282407407407409E-2</v>
      </c>
      <c r="J27" s="1">
        <v>21</v>
      </c>
      <c r="K27" s="1">
        <v>0</v>
      </c>
      <c r="L27" s="1">
        <v>21</v>
      </c>
    </row>
    <row r="28" spans="2:12" x14ac:dyDescent="0.2">
      <c r="B28" s="1" cm="1">
        <f t="array" ref="B28">_xlfn.ANCHORARRAY('Results - A'!A24)</f>
        <v>21</v>
      </c>
      <c r="C28" t="str">
        <v>Richard Halls</v>
      </c>
      <c r="D28" s="1">
        <v>104</v>
      </c>
      <c r="F28" s="1" cm="1">
        <f t="array" ref="F28">_xlfn.ANCHORARRAY('Results - A'!E24)</f>
        <v>21</v>
      </c>
      <c r="G28" t="str">
        <v>Gordon Reid</v>
      </c>
      <c r="H28" s="1">
        <v>23</v>
      </c>
      <c r="I28" s="4">
        <v>2.5567129629629631E-2</v>
      </c>
      <c r="J28" s="1">
        <v>8</v>
      </c>
      <c r="K28" s="1">
        <v>12</v>
      </c>
      <c r="L28" s="1">
        <v>20</v>
      </c>
    </row>
    <row r="29" spans="2:12" x14ac:dyDescent="0.2">
      <c r="B29" s="1" cm="1">
        <f t="array" ref="B29">_xlfn.ANCHORARRAY('Results - A'!A25)</f>
        <v>22</v>
      </c>
      <c r="C29" t="str">
        <v>Tobi Rosenkranz</v>
      </c>
      <c r="D29" s="1">
        <v>97</v>
      </c>
      <c r="F29" s="1" cm="1">
        <f t="array" ref="F29">_xlfn.ANCHORARRAY('Results - A'!E25)</f>
        <v>22</v>
      </c>
      <c r="G29" t="str">
        <v>Richard Halls</v>
      </c>
      <c r="H29" s="1">
        <v>24</v>
      </c>
      <c r="I29" s="4">
        <v>2.5914351851851852E-2</v>
      </c>
      <c r="J29" s="1">
        <v>7</v>
      </c>
      <c r="K29" s="1">
        <v>12</v>
      </c>
      <c r="L29" s="1">
        <v>19</v>
      </c>
    </row>
    <row r="30" spans="2:12" x14ac:dyDescent="0.2">
      <c r="B30" s="1" cm="1">
        <f t="array" ref="B30">_xlfn.ANCHORARRAY('Results - A'!A26)</f>
        <v>23</v>
      </c>
      <c r="C30" t="str">
        <v>Rupert Gordon-Watkins</v>
      </c>
      <c r="D30" s="1">
        <v>93</v>
      </c>
      <c r="F30" s="1" cm="1">
        <f t="array" ref="F30">_xlfn.ANCHORARRAY('Results - A'!E26)</f>
        <v>23</v>
      </c>
      <c r="G30" t="str">
        <v>Olly Wright</v>
      </c>
      <c r="H30" s="1">
        <v>25</v>
      </c>
      <c r="I30" s="4">
        <v>2.5960648148148149E-2</v>
      </c>
      <c r="J30" s="1">
        <v>6</v>
      </c>
      <c r="K30" s="1">
        <v>12</v>
      </c>
      <c r="L30" s="1">
        <v>18</v>
      </c>
    </row>
    <row r="31" spans="2:12" x14ac:dyDescent="0.2">
      <c r="B31" s="1" cm="1">
        <f t="array" ref="B31">_xlfn.ANCHORARRAY('Results - A'!A27)</f>
        <v>24</v>
      </c>
      <c r="C31" t="str">
        <v>Conor Walsh</v>
      </c>
      <c r="D31" s="1">
        <v>88</v>
      </c>
      <c r="F31" s="1" cm="1">
        <f t="array" ref="F31">_xlfn.ANCHORARRAY('Results - A'!E27)</f>
        <v>24</v>
      </c>
      <c r="G31" t="str">
        <v>Rupert Gordon-Watkins</v>
      </c>
      <c r="H31" s="1">
        <v>26</v>
      </c>
      <c r="I31" s="4">
        <v>2.630787037037037E-2</v>
      </c>
      <c r="J31" s="1">
        <v>5</v>
      </c>
      <c r="K31" s="1">
        <v>12</v>
      </c>
      <c r="L31" s="1">
        <v>17</v>
      </c>
    </row>
    <row r="32" spans="2:12" x14ac:dyDescent="0.2">
      <c r="B32" s="1" cm="1">
        <f t="array" ref="B32">_xlfn.ANCHORARRAY('Results - A'!A28)</f>
        <v>24</v>
      </c>
      <c r="C32" t="str">
        <v>Olly Wright</v>
      </c>
      <c r="D32" s="1">
        <v>88</v>
      </c>
      <c r="F32" s="1" cm="1">
        <f t="array" ref="F32">_xlfn.ANCHORARRAY('Results - A'!E28)</f>
        <v>25</v>
      </c>
      <c r="G32" t="str">
        <v>James Armitage-Hobbs</v>
      </c>
      <c r="H32" s="1">
        <v>27</v>
      </c>
      <c r="I32" s="4">
        <v>2.6539351851851852E-2</v>
      </c>
      <c r="J32" s="1">
        <v>4</v>
      </c>
      <c r="K32" s="1">
        <v>12</v>
      </c>
      <c r="L32" s="1">
        <v>16</v>
      </c>
    </row>
    <row r="33" spans="2:12" x14ac:dyDescent="0.2">
      <c r="B33" s="1" cm="1">
        <f t="array" ref="B33">_xlfn.ANCHORARRAY('Results - A'!A29)</f>
        <v>26</v>
      </c>
      <c r="C33" t="str">
        <v>Marcus Jones</v>
      </c>
      <c r="D33" s="1">
        <v>62</v>
      </c>
      <c r="F33" s="1" cm="1">
        <f t="array" ref="F33">_xlfn.ANCHORARRAY('Results - A'!E29)</f>
        <v>25</v>
      </c>
      <c r="G33" t="str">
        <v>Marcus Jones</v>
      </c>
      <c r="H33" s="1">
        <v>21</v>
      </c>
      <c r="I33" s="4">
        <v>2.5358796296296296E-2</v>
      </c>
      <c r="J33" s="1">
        <v>10</v>
      </c>
      <c r="K33" s="1">
        <v>6</v>
      </c>
      <c r="L33" s="1">
        <v>16</v>
      </c>
    </row>
    <row r="34" spans="2:12" x14ac:dyDescent="0.2">
      <c r="B34" s="1" cm="1">
        <f t="array" ref="B34">_xlfn.ANCHORARRAY('Results - A'!A30)</f>
        <v>27</v>
      </c>
      <c r="C34" t="str">
        <v>Richard Turner</v>
      </c>
      <c r="D34" s="1">
        <v>61</v>
      </c>
      <c r="F34" s="1" cm="1">
        <f t="array" ref="F34">_xlfn.ANCHORARRAY('Results - A'!E30)</f>
        <v>27</v>
      </c>
      <c r="G34" t="str">
        <v>Richard Turner</v>
      </c>
      <c r="H34" s="1">
        <v>22</v>
      </c>
      <c r="I34" s="4">
        <v>2.5509259259259259E-2</v>
      </c>
      <c r="J34" s="1">
        <v>9</v>
      </c>
      <c r="K34" s="1">
        <v>6</v>
      </c>
      <c r="L34" s="1">
        <v>15</v>
      </c>
    </row>
    <row r="36" spans="2:12" ht="20" thickBot="1" x14ac:dyDescent="0.3">
      <c r="B36" s="22" t="s">
        <v>90</v>
      </c>
      <c r="C36" s="22"/>
      <c r="D36" s="22"/>
      <c r="F36" s="22" t="s">
        <v>91</v>
      </c>
      <c r="G36" s="22"/>
      <c r="H36" s="22"/>
      <c r="I36" s="22"/>
      <c r="J36" s="22"/>
      <c r="K36" s="22"/>
      <c r="L36" s="22"/>
    </row>
    <row r="37" spans="2:12" x14ac:dyDescent="0.2">
      <c r="B37" s="3" t="s">
        <v>23</v>
      </c>
      <c r="C37" s="7" t="s">
        <v>24</v>
      </c>
      <c r="D37" s="3" t="s">
        <v>27</v>
      </c>
      <c r="E37" s="3"/>
      <c r="F37" s="3" t="s">
        <v>44</v>
      </c>
      <c r="G37" s="7" t="s">
        <v>24</v>
      </c>
      <c r="H37" s="3" t="s">
        <v>45</v>
      </c>
      <c r="I37" s="9" t="s">
        <v>25</v>
      </c>
      <c r="J37" s="3" t="s">
        <v>46</v>
      </c>
      <c r="K37" s="3" t="s">
        <v>33</v>
      </c>
      <c r="L37" s="3" t="s">
        <v>26</v>
      </c>
    </row>
    <row r="38" spans="2:12" ht="7" customHeight="1" x14ac:dyDescent="0.2"/>
    <row r="39" spans="2:12" x14ac:dyDescent="0.2">
      <c r="B39" s="1" cm="1">
        <f t="array" ref="B39">_xlfn.ANCHORARRAY('Results - B'!A4)</f>
        <v>1</v>
      </c>
      <c r="C39" t="str" cm="1">
        <f t="array" ref="C39:D78">_xlfn.ANCHORARRAY('Results - B'!B4)</f>
        <v>Russell Beard</v>
      </c>
      <c r="D39" s="1">
        <v>200</v>
      </c>
      <c r="F39" s="1" cm="1">
        <f t="array" ref="F39">_xlfn.ANCHORARRAY('Results - B'!E4)</f>
        <v>1</v>
      </c>
      <c r="G39" t="str" cm="1">
        <f t="array" ref="G39:L78">_xlfn.ANCHORARRAY('Results - B'!F4)</f>
        <v xml:space="preserve">David Willis </v>
      </c>
      <c r="H39" s="1">
        <v>1</v>
      </c>
      <c r="I39" s="4">
        <v>2.5000000000000001E-2</v>
      </c>
      <c r="J39" s="1">
        <v>40</v>
      </c>
      <c r="K39" s="1">
        <v>0</v>
      </c>
      <c r="L39" s="1">
        <v>40</v>
      </c>
    </row>
    <row r="40" spans="2:12" x14ac:dyDescent="0.2">
      <c r="B40" s="1" cm="1">
        <f t="array" ref="B40">_xlfn.ANCHORARRAY('Results - B'!A5)</f>
        <v>2</v>
      </c>
      <c r="C40" t="str">
        <v>Rich Southcott</v>
      </c>
      <c r="D40" s="1">
        <v>199</v>
      </c>
      <c r="F40" s="1" cm="1">
        <f t="array" ref="F40">_xlfn.ANCHORARRAY('Results - B'!E5)</f>
        <v>1</v>
      </c>
      <c r="G40" t="str">
        <v>James Turner</v>
      </c>
      <c r="H40" s="1">
        <v>23</v>
      </c>
      <c r="I40" s="4">
        <v>2.8449074074074075E-2</v>
      </c>
      <c r="J40" s="1">
        <v>18</v>
      </c>
      <c r="K40" s="1">
        <v>22</v>
      </c>
      <c r="L40" s="1">
        <v>40</v>
      </c>
    </row>
    <row r="41" spans="2:12" x14ac:dyDescent="0.2">
      <c r="B41" s="1" cm="1">
        <f t="array" ref="B41">_xlfn.ANCHORARRAY('Results - B'!A6)</f>
        <v>3</v>
      </c>
      <c r="C41" t="str">
        <v xml:space="preserve">David Willis </v>
      </c>
      <c r="D41" s="1">
        <v>196</v>
      </c>
      <c r="F41" s="1" cm="1">
        <f t="array" ref="F41">_xlfn.ANCHORARRAY('Results - B'!E6)</f>
        <v>1</v>
      </c>
      <c r="G41" t="str">
        <v xml:space="preserve">Nick Dumonde </v>
      </c>
      <c r="H41" s="1">
        <v>4</v>
      </c>
      <c r="I41" s="4">
        <v>2.5231481481481483E-2</v>
      </c>
      <c r="J41" s="1">
        <v>37</v>
      </c>
      <c r="K41" s="1">
        <v>8</v>
      </c>
      <c r="L41" s="1">
        <v>40</v>
      </c>
    </row>
    <row r="42" spans="2:12" x14ac:dyDescent="0.2">
      <c r="B42" s="1" cm="1">
        <f t="array" ref="B42">_xlfn.ANCHORARRAY('Results - B'!A7)</f>
        <v>4</v>
      </c>
      <c r="C42" t="str">
        <v>James Turner</v>
      </c>
      <c r="D42" s="1">
        <v>194</v>
      </c>
      <c r="F42" s="1" cm="1">
        <f t="array" ref="F42">_xlfn.ANCHORARRAY('Results - B'!E7)</f>
        <v>1</v>
      </c>
      <c r="G42" t="str">
        <v>Russell Beard</v>
      </c>
      <c r="H42" s="1">
        <v>9</v>
      </c>
      <c r="I42" s="4">
        <v>2.6435185185185187E-2</v>
      </c>
      <c r="J42" s="1">
        <v>32</v>
      </c>
      <c r="K42" s="1">
        <v>8</v>
      </c>
      <c r="L42" s="1">
        <v>40</v>
      </c>
    </row>
    <row r="43" spans="2:12" x14ac:dyDescent="0.2">
      <c r="B43" s="1" cm="1">
        <f t="array" ref="B43">_xlfn.ANCHORARRAY('Results - B'!A8)</f>
        <v>5</v>
      </c>
      <c r="C43" t="str">
        <v>Peter Lyons</v>
      </c>
      <c r="D43" s="1">
        <v>189</v>
      </c>
      <c r="F43" s="1" cm="1">
        <f t="array" ref="F43">_xlfn.ANCHORARRAY('Results - B'!E8)</f>
        <v>5</v>
      </c>
      <c r="G43" t="str">
        <v>Laura McMullen</v>
      </c>
      <c r="H43" s="1">
        <v>10</v>
      </c>
      <c r="I43" s="4">
        <v>2.6469907407407407E-2</v>
      </c>
      <c r="J43" s="1">
        <v>31</v>
      </c>
      <c r="K43" s="1">
        <v>8</v>
      </c>
      <c r="L43" s="1">
        <v>39</v>
      </c>
    </row>
    <row r="44" spans="2:12" x14ac:dyDescent="0.2">
      <c r="B44" s="1" cm="1">
        <f t="array" ref="B44">_xlfn.ANCHORARRAY('Results - B'!A9)</f>
        <v>6</v>
      </c>
      <c r="C44" t="str">
        <v>Laura McMullen</v>
      </c>
      <c r="D44" s="1">
        <v>188</v>
      </c>
      <c r="F44" s="1" cm="1">
        <f t="array" ref="F44">_xlfn.ANCHORARRAY('Results - B'!E9)</f>
        <v>5</v>
      </c>
      <c r="G44" t="str">
        <v>Rich Southcott</v>
      </c>
      <c r="H44" s="1">
        <v>2</v>
      </c>
      <c r="I44" s="4">
        <v>2.5104166666666667E-2</v>
      </c>
      <c r="J44" s="1">
        <v>39</v>
      </c>
      <c r="K44" s="1">
        <v>0</v>
      </c>
      <c r="L44" s="1">
        <v>39</v>
      </c>
    </row>
    <row r="45" spans="2:12" x14ac:dyDescent="0.2">
      <c r="B45" s="1" cm="1">
        <f t="array" ref="B45">_xlfn.ANCHORARRAY('Results - B'!A10)</f>
        <v>7</v>
      </c>
      <c r="C45" t="str">
        <v>Sean Haywood</v>
      </c>
      <c r="D45" s="1">
        <v>185</v>
      </c>
      <c r="F45" s="1" cm="1">
        <f t="array" ref="F45">_xlfn.ANCHORARRAY('Results - B'!E10)</f>
        <v>7</v>
      </c>
      <c r="G45" t="str">
        <v>David Griffiths</v>
      </c>
      <c r="H45" s="1">
        <v>11</v>
      </c>
      <c r="I45" s="4">
        <v>2.6712962962962963E-2</v>
      </c>
      <c r="J45" s="1">
        <v>30</v>
      </c>
      <c r="K45" s="1">
        <v>8</v>
      </c>
      <c r="L45" s="1">
        <v>38</v>
      </c>
    </row>
    <row r="46" spans="2:12" x14ac:dyDescent="0.2">
      <c r="B46" s="1" cm="1">
        <f t="array" ref="B46">_xlfn.ANCHORARRAY('Results - B'!A11)</f>
        <v>8</v>
      </c>
      <c r="C46" t="str">
        <v>Luke Fenney</v>
      </c>
      <c r="D46" s="1">
        <v>182</v>
      </c>
      <c r="F46" s="1" cm="1">
        <f t="array" ref="F46">_xlfn.ANCHORARRAY('Results - B'!E11)</f>
        <v>7</v>
      </c>
      <c r="G46" t="str">
        <v>Peter Lyons</v>
      </c>
      <c r="H46" s="1">
        <v>3</v>
      </c>
      <c r="I46" s="4">
        <v>2.5208333333333333E-2</v>
      </c>
      <c r="J46" s="1">
        <v>38</v>
      </c>
      <c r="K46" s="1">
        <v>0</v>
      </c>
      <c r="L46" s="1">
        <v>38</v>
      </c>
    </row>
    <row r="47" spans="2:12" x14ac:dyDescent="0.2">
      <c r="B47" s="1" cm="1">
        <f t="array" ref="B47">_xlfn.ANCHORARRAY('Results - B'!A12)</f>
        <v>9</v>
      </c>
      <c r="C47" t="str">
        <v>Alex Joss</v>
      </c>
      <c r="D47" s="1">
        <v>178</v>
      </c>
      <c r="F47" s="1" cm="1">
        <f t="array" ref="F47">_xlfn.ANCHORARRAY('Results - B'!E12)</f>
        <v>9</v>
      </c>
      <c r="G47" t="str">
        <v>Alex Wilson-Jones</v>
      </c>
      <c r="H47" s="1">
        <v>12</v>
      </c>
      <c r="I47" s="4">
        <v>2.6770833333333334E-2</v>
      </c>
      <c r="J47" s="1">
        <v>29</v>
      </c>
      <c r="K47" s="1">
        <v>8</v>
      </c>
      <c r="L47" s="1">
        <v>37</v>
      </c>
    </row>
    <row r="48" spans="2:12" x14ac:dyDescent="0.2">
      <c r="B48" s="1" cm="1">
        <f t="array" ref="B48">_xlfn.ANCHORARRAY('Results - B'!A13)</f>
        <v>10</v>
      </c>
      <c r="C48" t="str">
        <v>Alessandra Scaduto</v>
      </c>
      <c r="D48" s="1">
        <v>170</v>
      </c>
      <c r="F48" s="1" cm="1">
        <f t="array" ref="F48">_xlfn.ANCHORARRAY('Results - B'!E13)</f>
        <v>10</v>
      </c>
      <c r="G48" t="str">
        <v>Alex Joss</v>
      </c>
      <c r="H48" s="1">
        <v>13</v>
      </c>
      <c r="I48" s="4">
        <v>2.6782407407407408E-2</v>
      </c>
      <c r="J48" s="1">
        <v>28</v>
      </c>
      <c r="K48" s="1">
        <v>8</v>
      </c>
      <c r="L48" s="1">
        <v>36</v>
      </c>
    </row>
    <row r="49" spans="2:12" x14ac:dyDescent="0.2">
      <c r="B49" s="1" cm="1">
        <f t="array" ref="B49">_xlfn.ANCHORARRAY('Results - B'!A14)</f>
        <v>11</v>
      </c>
      <c r="C49" t="str">
        <v>David Griffiths</v>
      </c>
      <c r="D49" s="1">
        <v>168</v>
      </c>
      <c r="F49" s="1" cm="1">
        <f t="array" ref="F49">_xlfn.ANCHORARRAY('Results - B'!E14)</f>
        <v>10</v>
      </c>
      <c r="G49" t="str">
        <v>Sean Haywood</v>
      </c>
      <c r="H49" s="1">
        <v>5</v>
      </c>
      <c r="I49" s="4">
        <v>2.539351851851852E-2</v>
      </c>
      <c r="J49" s="1">
        <v>36</v>
      </c>
      <c r="K49" s="1">
        <v>0</v>
      </c>
      <c r="L49" s="1">
        <v>36</v>
      </c>
    </row>
    <row r="50" spans="2:12" x14ac:dyDescent="0.2">
      <c r="B50" s="1" cm="1">
        <f t="array" ref="B50">_xlfn.ANCHORARRAY('Results - B'!A15)</f>
        <v>12</v>
      </c>
      <c r="C50" t="str">
        <v>Alex Wilson-Jones</v>
      </c>
      <c r="D50" s="1">
        <v>166</v>
      </c>
      <c r="F50" s="1" cm="1">
        <f t="array" ref="F50">_xlfn.ANCHORARRAY('Results - B'!E15)</f>
        <v>12</v>
      </c>
      <c r="G50" t="str">
        <v>Alexandra Chuchu</v>
      </c>
      <c r="H50" s="1">
        <v>28</v>
      </c>
      <c r="I50" s="4">
        <v>2.9456018518518517E-2</v>
      </c>
      <c r="J50" s="1">
        <v>13</v>
      </c>
      <c r="K50" s="1">
        <v>22</v>
      </c>
      <c r="L50" s="1">
        <v>35</v>
      </c>
    </row>
    <row r="51" spans="2:12" x14ac:dyDescent="0.2">
      <c r="B51" s="1" cm="1">
        <f t="array" ref="B51">_xlfn.ANCHORARRAY('Results - B'!A16)</f>
        <v>13</v>
      </c>
      <c r="C51" t="str">
        <v>Joe Barrett</v>
      </c>
      <c r="D51" s="1">
        <v>164</v>
      </c>
      <c r="F51" s="1" cm="1">
        <f t="array" ref="F51">_xlfn.ANCHORARRAY('Results - B'!E16)</f>
        <v>12</v>
      </c>
      <c r="G51" t="str">
        <v>Justin Goold</v>
      </c>
      <c r="H51" s="1">
        <v>14</v>
      </c>
      <c r="I51" s="4">
        <v>2.6828703703703705E-2</v>
      </c>
      <c r="J51" s="1">
        <v>27</v>
      </c>
      <c r="K51" s="1">
        <v>8</v>
      </c>
      <c r="L51" s="1">
        <v>35</v>
      </c>
    </row>
    <row r="52" spans="2:12" x14ac:dyDescent="0.2">
      <c r="B52" s="1" cm="1">
        <f t="array" ref="B52">_xlfn.ANCHORARRAY('Results - B'!A17)</f>
        <v>14</v>
      </c>
      <c r="C52" t="str">
        <v>Jeremy Sharpe</v>
      </c>
      <c r="D52" s="1">
        <v>163</v>
      </c>
      <c r="F52" s="1" cm="1">
        <f t="array" ref="F52">_xlfn.ANCHORARRAY('Results - B'!E17)</f>
        <v>12</v>
      </c>
      <c r="G52" t="str">
        <v>Luke Benfield</v>
      </c>
      <c r="H52" s="1">
        <v>6</v>
      </c>
      <c r="I52" s="4">
        <v>2.6064814814814815E-2</v>
      </c>
      <c r="J52" s="1">
        <v>35</v>
      </c>
      <c r="K52" s="1">
        <v>0</v>
      </c>
      <c r="L52" s="1">
        <v>35</v>
      </c>
    </row>
    <row r="53" spans="2:12" x14ac:dyDescent="0.2">
      <c r="B53" s="1" cm="1">
        <f t="array" ref="B53">_xlfn.ANCHORARRAY('Results - B'!A18)</f>
        <v>15</v>
      </c>
      <c r="C53" t="str">
        <v>Alexandra Chuchu</v>
      </c>
      <c r="D53" s="1">
        <v>162</v>
      </c>
      <c r="F53" s="1" cm="1">
        <f t="array" ref="F53">_xlfn.ANCHORARRAY('Results - B'!E18)</f>
        <v>12</v>
      </c>
      <c r="G53" t="str">
        <v>Luke Fenney</v>
      </c>
      <c r="H53" s="1">
        <v>22</v>
      </c>
      <c r="I53" s="4">
        <v>2.7974537037037037E-2</v>
      </c>
      <c r="J53" s="1">
        <v>19</v>
      </c>
      <c r="K53" s="1">
        <v>16</v>
      </c>
      <c r="L53" s="1">
        <v>35</v>
      </c>
    </row>
    <row r="54" spans="2:12" x14ac:dyDescent="0.2">
      <c r="B54" s="1" cm="1">
        <f t="array" ref="B54">_xlfn.ANCHORARRAY('Results - B'!A19)</f>
        <v>16</v>
      </c>
      <c r="C54" t="str">
        <v>Martyn Hopping</v>
      </c>
      <c r="D54" s="1">
        <v>160</v>
      </c>
      <c r="F54" s="1" cm="1">
        <f t="array" ref="F54">_xlfn.ANCHORARRAY('Results - B'!E19)</f>
        <v>16</v>
      </c>
      <c r="G54" t="str">
        <v>Alessandra Scaduto</v>
      </c>
      <c r="H54" s="1">
        <v>29</v>
      </c>
      <c r="I54" s="4">
        <v>3.0138888888888889E-2</v>
      </c>
      <c r="J54" s="1">
        <v>12</v>
      </c>
      <c r="K54" s="1">
        <v>22</v>
      </c>
      <c r="L54" s="1">
        <v>34</v>
      </c>
    </row>
    <row r="55" spans="2:12" x14ac:dyDescent="0.2">
      <c r="B55" s="1" cm="1">
        <f t="array" ref="B55">_xlfn.ANCHORARRAY('Results - B'!A20)</f>
        <v>17</v>
      </c>
      <c r="C55" t="str">
        <v>Luke Benfield</v>
      </c>
      <c r="D55" s="1">
        <v>159</v>
      </c>
      <c r="F55" s="1" cm="1">
        <f t="array" ref="F55">_xlfn.ANCHORARRAY('Results - B'!E20)</f>
        <v>16</v>
      </c>
      <c r="G55" t="str">
        <v>Joe Barrett</v>
      </c>
      <c r="H55" s="1">
        <v>7</v>
      </c>
      <c r="I55" s="4">
        <v>2.6249999999999999E-2</v>
      </c>
      <c r="J55" s="1">
        <v>34</v>
      </c>
      <c r="K55" s="1">
        <v>0</v>
      </c>
      <c r="L55" s="1">
        <v>34</v>
      </c>
    </row>
    <row r="56" spans="2:12" x14ac:dyDescent="0.2">
      <c r="B56" s="1" cm="1">
        <f t="array" ref="B56">_xlfn.ANCHORARRAY('Results - B'!A21)</f>
        <v>18</v>
      </c>
      <c r="C56" t="str">
        <v xml:space="preserve">Nick Dumonde </v>
      </c>
      <c r="D56" s="1">
        <v>156</v>
      </c>
      <c r="F56" s="1" cm="1">
        <f t="array" ref="F56">_xlfn.ANCHORARRAY('Results - B'!E21)</f>
        <v>18</v>
      </c>
      <c r="G56" t="str">
        <v xml:space="preserve">Adam Currie </v>
      </c>
      <c r="H56" s="1">
        <v>8</v>
      </c>
      <c r="I56" s="4">
        <v>2.6388888888888889E-2</v>
      </c>
      <c r="J56" s="1">
        <v>33</v>
      </c>
      <c r="K56" s="1">
        <v>0</v>
      </c>
      <c r="L56" s="1">
        <v>33</v>
      </c>
    </row>
    <row r="57" spans="2:12" x14ac:dyDescent="0.2">
      <c r="B57" s="1" cm="1">
        <f t="array" ref="B57">_xlfn.ANCHORARRAY('Results - B'!A22)</f>
        <v>18</v>
      </c>
      <c r="C57" t="str">
        <v>Simon White</v>
      </c>
      <c r="D57" s="1">
        <v>156</v>
      </c>
      <c r="F57" s="1" cm="1">
        <f t="array" ref="F57">_xlfn.ANCHORARRAY('Results - B'!E22)</f>
        <v>18</v>
      </c>
      <c r="G57" t="str">
        <v>Martyn Hopping</v>
      </c>
      <c r="H57" s="1">
        <v>24</v>
      </c>
      <c r="I57" s="4">
        <v>2.8472222222222222E-2</v>
      </c>
      <c r="J57" s="1">
        <v>17</v>
      </c>
      <c r="K57" s="1">
        <v>16</v>
      </c>
      <c r="L57" s="1">
        <v>33</v>
      </c>
    </row>
    <row r="58" spans="2:12" x14ac:dyDescent="0.2">
      <c r="B58" s="1" cm="1">
        <f t="array" ref="B58">_xlfn.ANCHORARRAY('Results - B'!A23)</f>
        <v>20</v>
      </c>
      <c r="C58" t="str">
        <v>Phoebe Macwhinnie</v>
      </c>
      <c r="D58" s="1">
        <v>155</v>
      </c>
      <c r="F58" s="1" cm="1">
        <f t="array" ref="F58">_xlfn.ANCHORARRAY('Results - B'!E23)</f>
        <v>20</v>
      </c>
      <c r="G58" t="str">
        <v>Gareth Edwards</v>
      </c>
      <c r="H58" s="1">
        <v>17</v>
      </c>
      <c r="I58" s="4">
        <v>2.6863425925925926E-2</v>
      </c>
      <c r="J58" s="1">
        <v>24</v>
      </c>
      <c r="K58" s="1">
        <v>8</v>
      </c>
      <c r="L58" s="1">
        <v>32</v>
      </c>
    </row>
    <row r="59" spans="2:12" x14ac:dyDescent="0.2">
      <c r="B59" s="1" cm="1">
        <f t="array" ref="B59">_xlfn.ANCHORARRAY('Results - B'!A24)</f>
        <v>20</v>
      </c>
      <c r="C59" t="str">
        <v>Tom Bagley</v>
      </c>
      <c r="D59" s="1">
        <v>155</v>
      </c>
      <c r="F59" s="1" cm="1">
        <f t="array" ref="F59">_xlfn.ANCHORARRAY('Results - B'!E24)</f>
        <v>21</v>
      </c>
      <c r="G59" t="str">
        <v>Hans Stiles</v>
      </c>
      <c r="H59" s="1">
        <v>18</v>
      </c>
      <c r="I59" s="4">
        <v>2.6898148148148147E-2</v>
      </c>
      <c r="J59" s="1">
        <v>23</v>
      </c>
      <c r="K59" s="1">
        <v>8</v>
      </c>
      <c r="L59" s="1">
        <v>31</v>
      </c>
    </row>
    <row r="60" spans="2:12" x14ac:dyDescent="0.2">
      <c r="B60" s="1" cm="1">
        <f t="array" ref="B60">_xlfn.ANCHORARRAY('Results - B'!A25)</f>
        <v>22</v>
      </c>
      <c r="C60" t="str">
        <v>Patricia Villar</v>
      </c>
      <c r="D60" s="1">
        <v>153</v>
      </c>
      <c r="F60" s="1" cm="1">
        <f t="array" ref="F60">_xlfn.ANCHORARRAY('Results - B'!E25)</f>
        <v>21</v>
      </c>
      <c r="G60" t="str">
        <v>Tom Bagley</v>
      </c>
      <c r="H60" s="1">
        <v>26</v>
      </c>
      <c r="I60" s="4">
        <v>2.8912037037037038E-2</v>
      </c>
      <c r="J60" s="1">
        <v>15</v>
      </c>
      <c r="K60" s="1">
        <v>16</v>
      </c>
      <c r="L60" s="1">
        <v>31</v>
      </c>
    </row>
    <row r="61" spans="2:12" x14ac:dyDescent="0.2">
      <c r="B61" s="1" cm="1">
        <f t="array" ref="B61">_xlfn.ANCHORARRAY('Results - B'!A26)</f>
        <v>23</v>
      </c>
      <c r="C61" t="str">
        <v>Matt Wynn</v>
      </c>
      <c r="D61" s="1">
        <v>149</v>
      </c>
      <c r="F61" s="1" cm="1">
        <f t="array" ref="F61">_xlfn.ANCHORARRAY('Results - B'!E26)</f>
        <v>23</v>
      </c>
      <c r="G61" t="str">
        <v>Harvey Jackson</v>
      </c>
      <c r="H61" s="1">
        <v>27</v>
      </c>
      <c r="I61" s="4">
        <v>2.9039351851851851E-2</v>
      </c>
      <c r="J61" s="1">
        <v>14</v>
      </c>
      <c r="K61" s="1">
        <v>16</v>
      </c>
      <c r="L61" s="1">
        <v>30</v>
      </c>
    </row>
    <row r="62" spans="2:12" x14ac:dyDescent="0.2">
      <c r="B62" s="1" cm="1">
        <f t="array" ref="B62">_xlfn.ANCHORARRAY('Results - B'!A27)</f>
        <v>24</v>
      </c>
      <c r="C62" t="str">
        <v>Paul Davey</v>
      </c>
      <c r="D62" s="1">
        <v>145</v>
      </c>
      <c r="F62" s="1" cm="1">
        <f t="array" ref="F62">_xlfn.ANCHORARRAY('Results - B'!E27)</f>
        <v>23</v>
      </c>
      <c r="G62" t="str">
        <v>Peter King</v>
      </c>
      <c r="H62" s="1">
        <v>33</v>
      </c>
      <c r="I62" s="4">
        <v>3.2476851851851854E-2</v>
      </c>
      <c r="J62" s="1">
        <v>8</v>
      </c>
      <c r="K62" s="1">
        <v>22</v>
      </c>
      <c r="L62" s="1">
        <v>30</v>
      </c>
    </row>
    <row r="63" spans="2:12" x14ac:dyDescent="0.2">
      <c r="B63" s="1" cm="1">
        <f t="array" ref="B63">_xlfn.ANCHORARRAY('Results - B'!A28)</f>
        <v>25</v>
      </c>
      <c r="C63" t="str">
        <v>Peter King</v>
      </c>
      <c r="D63" s="1">
        <v>144</v>
      </c>
      <c r="F63" s="1" cm="1">
        <f t="array" ref="F63">_xlfn.ANCHORARRAY('Results - B'!E28)</f>
        <v>23</v>
      </c>
      <c r="G63" t="str">
        <v>Simon White</v>
      </c>
      <c r="H63" s="1">
        <v>19</v>
      </c>
      <c r="I63" s="4">
        <v>2.75E-2</v>
      </c>
      <c r="J63" s="1">
        <v>22</v>
      </c>
      <c r="K63" s="1">
        <v>8</v>
      </c>
      <c r="L63" s="1">
        <v>30</v>
      </c>
    </row>
    <row r="64" spans="2:12" x14ac:dyDescent="0.2">
      <c r="B64" s="1" cm="1">
        <f t="array" ref="B64">_xlfn.ANCHORARRAY('Results - B'!A29)</f>
        <v>26</v>
      </c>
      <c r="C64" t="str">
        <v>Gareth Edwards</v>
      </c>
      <c r="D64" s="1">
        <v>141</v>
      </c>
      <c r="F64" s="1" cm="1">
        <f t="array" ref="F64">_xlfn.ANCHORARRAY('Results - B'!E29)</f>
        <v>26</v>
      </c>
      <c r="G64" t="str">
        <v>Patricia Villar</v>
      </c>
      <c r="H64" s="1">
        <v>34</v>
      </c>
      <c r="I64" s="4">
        <v>3.2766203703703707E-2</v>
      </c>
      <c r="J64" s="1">
        <v>7</v>
      </c>
      <c r="K64" s="1">
        <v>22</v>
      </c>
      <c r="L64" s="1">
        <v>29</v>
      </c>
    </row>
    <row r="65" spans="2:12" x14ac:dyDescent="0.2">
      <c r="B65" s="1" cm="1">
        <f t="array" ref="B65">_xlfn.ANCHORARRAY('Results - B'!A30)</f>
        <v>27</v>
      </c>
      <c r="C65" t="str">
        <v>David Goddard</v>
      </c>
      <c r="D65" s="1">
        <v>140</v>
      </c>
      <c r="F65" s="1" cm="1">
        <f t="array" ref="F65">_xlfn.ANCHORARRAY('Results - B'!E30)</f>
        <v>26</v>
      </c>
      <c r="G65" t="str">
        <v>Richard Harrison</v>
      </c>
      <c r="H65" s="1">
        <v>20</v>
      </c>
      <c r="I65" s="4">
        <v>2.7581018518518519E-2</v>
      </c>
      <c r="J65" s="1">
        <v>21</v>
      </c>
      <c r="K65" s="1">
        <v>8</v>
      </c>
      <c r="L65" s="1">
        <v>29</v>
      </c>
    </row>
    <row r="66" spans="2:12" x14ac:dyDescent="0.2">
      <c r="B66" s="1" cm="1">
        <f t="array" ref="B66">_xlfn.ANCHORARRAY('Results - B'!A31)</f>
        <v>27</v>
      </c>
      <c r="C66" t="str">
        <v>Justin Goold</v>
      </c>
      <c r="D66" s="1">
        <v>140</v>
      </c>
      <c r="F66" s="1" cm="1">
        <f t="array" ref="F66">_xlfn.ANCHORARRAY('Results - B'!E31)</f>
        <v>28</v>
      </c>
      <c r="G66" t="str">
        <v>Jeremy Sharpe</v>
      </c>
      <c r="H66" s="1">
        <v>21</v>
      </c>
      <c r="I66" s="4">
        <v>2.7650462962962963E-2</v>
      </c>
      <c r="J66" s="1">
        <v>20</v>
      </c>
      <c r="K66" s="1">
        <v>8</v>
      </c>
      <c r="L66" s="1">
        <v>28</v>
      </c>
    </row>
    <row r="67" spans="2:12" x14ac:dyDescent="0.2">
      <c r="B67" s="1" cm="1">
        <f t="array" ref="B67">_xlfn.ANCHORARRAY('Results - B'!A32)</f>
        <v>29</v>
      </c>
      <c r="C67" t="str">
        <v>Funking Baxter</v>
      </c>
      <c r="D67" s="1">
        <v>138</v>
      </c>
      <c r="F67" s="1" cm="1">
        <f t="array" ref="F67">_xlfn.ANCHORARRAY('Results - B'!E32)</f>
        <v>28</v>
      </c>
      <c r="G67" t="str">
        <v>Phoebe Macwhinnie</v>
      </c>
      <c r="H67" s="1">
        <v>35</v>
      </c>
      <c r="I67" s="4">
        <v>3.3101851851851855E-2</v>
      </c>
      <c r="J67" s="1">
        <v>6</v>
      </c>
      <c r="K67" s="1">
        <v>22</v>
      </c>
      <c r="L67" s="1">
        <v>28</v>
      </c>
    </row>
    <row r="68" spans="2:12" x14ac:dyDescent="0.2">
      <c r="B68" s="1" cm="1">
        <f t="array" ref="B68">_xlfn.ANCHORARRAY('Results - B'!A33)</f>
        <v>30</v>
      </c>
      <c r="C68" t="str">
        <v>Mark Presland</v>
      </c>
      <c r="D68" s="1">
        <v>134</v>
      </c>
      <c r="F68" s="1" cm="1">
        <f t="array" ref="F68">_xlfn.ANCHORARRAY('Results - B'!E33)</f>
        <v>30</v>
      </c>
      <c r="G68" t="str">
        <v>Funking Baxter</v>
      </c>
      <c r="H68" s="1">
        <v>36</v>
      </c>
      <c r="I68" s="4">
        <v>3.6006944444444446E-2</v>
      </c>
      <c r="J68" s="1">
        <v>5</v>
      </c>
      <c r="K68" s="1">
        <v>22</v>
      </c>
      <c r="L68" s="1">
        <v>27</v>
      </c>
    </row>
    <row r="69" spans="2:12" x14ac:dyDescent="0.2">
      <c r="B69" s="1" cm="1">
        <f t="array" ref="B69">_xlfn.ANCHORARRAY('Results - B'!A34)</f>
        <v>31</v>
      </c>
      <c r="C69" t="str">
        <v>Alan Grant</v>
      </c>
      <c r="D69" s="1">
        <v>131</v>
      </c>
      <c r="F69" s="1" cm="1">
        <f t="array" ref="F69">_xlfn.ANCHORARRAY('Results - B'!E34)</f>
        <v>31</v>
      </c>
      <c r="G69" t="str">
        <v>David Goddard</v>
      </c>
      <c r="H69" s="1">
        <v>15</v>
      </c>
      <c r="I69" s="4">
        <v>2.6828703703703705E-2</v>
      </c>
      <c r="J69" s="1">
        <v>26</v>
      </c>
      <c r="K69" s="1">
        <v>0</v>
      </c>
      <c r="L69" s="1">
        <v>26</v>
      </c>
    </row>
    <row r="70" spans="2:12" x14ac:dyDescent="0.2">
      <c r="B70" s="1" cm="1">
        <f t="array" ref="B70">_xlfn.ANCHORARRAY('Results - B'!A35)</f>
        <v>32</v>
      </c>
      <c r="C70" t="str">
        <v>Richard Harrison</v>
      </c>
      <c r="D70" s="1">
        <v>129</v>
      </c>
      <c r="F70" s="1" cm="1">
        <f t="array" ref="F70">_xlfn.ANCHORARRAY('Results - B'!E35)</f>
        <v>31</v>
      </c>
      <c r="G70" t="str">
        <v>Matt Wynn</v>
      </c>
      <c r="H70" s="1">
        <v>31</v>
      </c>
      <c r="I70" s="4">
        <v>3.0601851851851852E-2</v>
      </c>
      <c r="J70" s="1">
        <v>10</v>
      </c>
      <c r="K70" s="1">
        <v>16</v>
      </c>
      <c r="L70" s="1">
        <v>26</v>
      </c>
    </row>
    <row r="71" spans="2:12" x14ac:dyDescent="0.2">
      <c r="B71" s="1" cm="1">
        <f t="array" ref="B71">_xlfn.ANCHORARRAY('Results - B'!A36)</f>
        <v>33</v>
      </c>
      <c r="C71" t="str">
        <v>Jonny Vaux</v>
      </c>
      <c r="D71" s="1">
        <v>128</v>
      </c>
      <c r="F71" s="1" cm="1">
        <f t="array" ref="F71">_xlfn.ANCHORARRAY('Results - B'!E36)</f>
        <v>33</v>
      </c>
      <c r="G71" t="str">
        <v>Mark Stancombe</v>
      </c>
      <c r="H71" s="1">
        <v>32</v>
      </c>
      <c r="I71" s="4">
        <v>3.152777777777778E-2</v>
      </c>
      <c r="J71" s="1">
        <v>9</v>
      </c>
      <c r="K71" s="1">
        <v>16</v>
      </c>
      <c r="L71" s="1">
        <v>25</v>
      </c>
    </row>
    <row r="72" spans="2:12" x14ac:dyDescent="0.2">
      <c r="B72" s="1" cm="1">
        <f t="array" ref="B72">_xlfn.ANCHORARRAY('Results - B'!A37)</f>
        <v>34</v>
      </c>
      <c r="C72" t="str">
        <v>Harvey Jackson</v>
      </c>
      <c r="D72" s="1">
        <v>127</v>
      </c>
      <c r="F72" s="1" cm="1">
        <f t="array" ref="F72">_xlfn.ANCHORARRAY('Results - B'!E37)</f>
        <v>33</v>
      </c>
      <c r="G72" t="str">
        <v>Paul Davey</v>
      </c>
      <c r="H72" s="1">
        <v>16</v>
      </c>
      <c r="I72" s="4">
        <v>2.6863425925925926E-2</v>
      </c>
      <c r="J72" s="1">
        <v>25</v>
      </c>
      <c r="K72" s="1">
        <v>0</v>
      </c>
      <c r="L72" s="1">
        <v>25</v>
      </c>
    </row>
    <row r="73" spans="2:12" x14ac:dyDescent="0.2">
      <c r="B73" s="1" cm="1">
        <f t="array" ref="B73">_xlfn.ANCHORARRAY('Results - B'!A38)</f>
        <v>35</v>
      </c>
      <c r="C73" t="str">
        <v>Mark Stancombe</v>
      </c>
      <c r="D73" s="1">
        <v>119</v>
      </c>
      <c r="F73" s="1" cm="1">
        <f t="array" ref="F73">_xlfn.ANCHORARRAY('Results - B'!E38)</f>
        <v>35</v>
      </c>
      <c r="G73" t="str">
        <v>Chris Croft</v>
      </c>
      <c r="H73" s="1">
        <v>25</v>
      </c>
      <c r="I73" s="4">
        <v>2.8854166666666667E-2</v>
      </c>
      <c r="J73" s="1">
        <v>16</v>
      </c>
      <c r="K73" s="1">
        <v>8</v>
      </c>
      <c r="L73" s="1">
        <v>24</v>
      </c>
    </row>
    <row r="74" spans="2:12" x14ac:dyDescent="0.2">
      <c r="B74" s="1" cm="1">
        <f t="array" ref="B74">_xlfn.ANCHORARRAY('Results - B'!A39)</f>
        <v>36</v>
      </c>
      <c r="C74" t="str">
        <v>Chris Croft</v>
      </c>
      <c r="D74" s="1">
        <v>113</v>
      </c>
      <c r="F74" s="1" cm="1">
        <f t="array" ref="F74">_xlfn.ANCHORARRAY('Results - B'!E39)</f>
        <v>35</v>
      </c>
      <c r="G74" t="str">
        <v>Jonny Vaux</v>
      </c>
      <c r="H74" s="1">
        <v>39</v>
      </c>
      <c r="I74" s="4">
        <v>3.8090277777777778E-2</v>
      </c>
      <c r="J74" s="1">
        <v>2</v>
      </c>
      <c r="K74" s="1">
        <v>22</v>
      </c>
      <c r="L74" s="1">
        <v>24</v>
      </c>
    </row>
    <row r="75" spans="2:12" x14ac:dyDescent="0.2">
      <c r="B75" s="1" cm="1">
        <f t="array" ref="B75">_xlfn.ANCHORARRAY('Results - B'!A40)</f>
        <v>37</v>
      </c>
      <c r="C75" t="str">
        <v>Rob Cherry</v>
      </c>
      <c r="D75" s="1">
        <v>112</v>
      </c>
      <c r="F75" s="1" cm="1">
        <f t="array" ref="F75">_xlfn.ANCHORARRAY('Results - B'!E40)</f>
        <v>37</v>
      </c>
      <c r="G75" t="str">
        <v>Rob Cherry</v>
      </c>
      <c r="H75" s="1">
        <v>30</v>
      </c>
      <c r="I75" s="4">
        <v>3.037037037037037E-2</v>
      </c>
      <c r="J75" s="1">
        <v>11</v>
      </c>
      <c r="K75" s="1">
        <v>8</v>
      </c>
      <c r="L75" s="1">
        <v>19</v>
      </c>
    </row>
    <row r="76" spans="2:12" x14ac:dyDescent="0.2">
      <c r="B76" s="1" cm="1">
        <f t="array" ref="B76">_xlfn.ANCHORARRAY('Results - B'!A41)</f>
        <v>38</v>
      </c>
      <c r="C76" t="str">
        <v xml:space="preserve">Adam Currie </v>
      </c>
      <c r="D76" s="1">
        <v>97</v>
      </c>
      <c r="F76" s="1" cm="1">
        <f t="array" ref="F76">_xlfn.ANCHORARRAY('Results - B'!E41)</f>
        <v>38</v>
      </c>
      <c r="G76" t="str">
        <v>Olivier Baillet</v>
      </c>
      <c r="H76" s="1">
        <v>37</v>
      </c>
      <c r="I76" s="4">
        <v>3.8090277777777778E-2</v>
      </c>
      <c r="J76" s="1">
        <v>4</v>
      </c>
      <c r="K76" s="1">
        <v>8</v>
      </c>
      <c r="L76" s="1">
        <v>12</v>
      </c>
    </row>
    <row r="77" spans="2:12" x14ac:dyDescent="0.2">
      <c r="B77" s="1" cm="1">
        <f t="array" ref="B77">_xlfn.ANCHORARRAY('Results - B'!A42)</f>
        <v>39</v>
      </c>
      <c r="C77" t="str">
        <v>Hans Stiles</v>
      </c>
      <c r="D77" s="1">
        <v>69</v>
      </c>
      <c r="F77" s="1" cm="1">
        <f t="array" ref="F77">_xlfn.ANCHORARRAY('Results - B'!E42)</f>
        <v>39</v>
      </c>
      <c r="G77" t="str">
        <v>Alan Grant</v>
      </c>
      <c r="H77" s="1">
        <v>38</v>
      </c>
      <c r="I77" s="4">
        <v>3.8090277777777778E-2</v>
      </c>
      <c r="J77" s="1">
        <v>3</v>
      </c>
      <c r="K77" s="1">
        <v>0</v>
      </c>
      <c r="L77" s="1">
        <v>3</v>
      </c>
    </row>
    <row r="78" spans="2:12" x14ac:dyDescent="0.2">
      <c r="C78" t="str">
        <v>Olivier Baillet</v>
      </c>
      <c r="D78" s="1">
        <v>62</v>
      </c>
      <c r="G78" t="str">
        <v>Mark Presland</v>
      </c>
      <c r="H78" s="1">
        <v>40</v>
      </c>
      <c r="I78" s="4">
        <v>3.8090277777777778E-2</v>
      </c>
      <c r="J78" s="1">
        <v>1</v>
      </c>
      <c r="K78" s="1">
        <v>0</v>
      </c>
      <c r="L78" s="1">
        <v>1</v>
      </c>
    </row>
    <row r="79" spans="2:12" ht="20" thickBot="1" x14ac:dyDescent="0.3">
      <c r="B79" s="22" t="s">
        <v>97</v>
      </c>
      <c r="C79" s="22"/>
      <c r="D79" s="22"/>
      <c r="F79" s="22" t="s">
        <v>98</v>
      </c>
      <c r="G79" s="22"/>
      <c r="H79" s="22"/>
      <c r="I79" s="22"/>
      <c r="J79" s="22"/>
      <c r="K79" s="22"/>
      <c r="L79" s="22"/>
    </row>
    <row r="80" spans="2:12" x14ac:dyDescent="0.2">
      <c r="B80" s="3" t="s">
        <v>23</v>
      </c>
      <c r="C80" s="7" t="s">
        <v>24</v>
      </c>
      <c r="D80" s="3" t="s">
        <v>27</v>
      </c>
      <c r="E80" s="3"/>
      <c r="F80" s="3" t="s">
        <v>44</v>
      </c>
      <c r="G80" s="7" t="s">
        <v>24</v>
      </c>
      <c r="H80" s="3" t="s">
        <v>45</v>
      </c>
      <c r="I80" s="9" t="s">
        <v>25</v>
      </c>
      <c r="J80" s="3" t="s">
        <v>46</v>
      </c>
      <c r="K80" s="3" t="s">
        <v>33</v>
      </c>
      <c r="L80" s="3" t="s">
        <v>26</v>
      </c>
    </row>
    <row r="81" spans="2:12" ht="7" customHeight="1" x14ac:dyDescent="0.2"/>
    <row r="82" spans="2:12" x14ac:dyDescent="0.2">
      <c r="B82" s="1" cm="1">
        <f t="array" ref="B82">_xlfn.ANCHORARRAY('Results - W'!A4)</f>
        <v>1</v>
      </c>
      <c r="C82" t="str" cm="1">
        <f t="array" ref="C82:D88">_xlfn.ANCHORARRAY('Results - W'!B4)</f>
        <v>Alessandra Scaduto</v>
      </c>
      <c r="D82" s="1">
        <v>34</v>
      </c>
      <c r="F82" s="1" cm="1">
        <f t="array" ref="F82">_xlfn.ANCHORARRAY('Results - W'!E4)</f>
        <v>1</v>
      </c>
      <c r="G82" t="str" cm="1">
        <f t="array" ref="G82:L88">_xlfn.ANCHORARRAY('Results - W'!F4)</f>
        <v>Alex Wilson-Jones</v>
      </c>
      <c r="H82" s="1">
        <v>2</v>
      </c>
      <c r="I82" s="4">
        <v>2.6770833333333334E-2</v>
      </c>
      <c r="J82" s="1">
        <v>5</v>
      </c>
      <c r="K82" s="1">
        <v>2</v>
      </c>
      <c r="L82" s="1">
        <v>7</v>
      </c>
    </row>
    <row r="83" spans="2:12" x14ac:dyDescent="0.2">
      <c r="B83" s="1" cm="1">
        <f t="array" ref="B83">_xlfn.ANCHORARRAY('Results - W'!A5)</f>
        <v>1</v>
      </c>
      <c r="C83" t="str">
        <v>Laura McMullen</v>
      </c>
      <c r="D83" s="1">
        <v>34</v>
      </c>
      <c r="F83" s="1" cm="1">
        <f t="array" ref="F83">_xlfn.ANCHORARRAY('Results - W'!E5)</f>
        <v>1</v>
      </c>
      <c r="G83" t="str">
        <v>Alexandra Chuchu</v>
      </c>
      <c r="H83" s="1">
        <v>4</v>
      </c>
      <c r="I83" s="4">
        <v>2.9456018518518517E-2</v>
      </c>
      <c r="J83" s="1">
        <v>3</v>
      </c>
      <c r="K83" s="1">
        <v>4</v>
      </c>
      <c r="L83" s="1">
        <v>7</v>
      </c>
    </row>
    <row r="84" spans="2:12" x14ac:dyDescent="0.2">
      <c r="B84" s="1" cm="1">
        <f t="array" ref="B84">_xlfn.ANCHORARRAY('Results - W'!A6)</f>
        <v>3</v>
      </c>
      <c r="C84" t="str">
        <v>Alex Wilson-Jones</v>
      </c>
      <c r="D84" s="1">
        <v>33</v>
      </c>
      <c r="F84" s="1" cm="1">
        <f t="array" ref="F84">_xlfn.ANCHORARRAY('Results - W'!E6)</f>
        <v>1</v>
      </c>
      <c r="G84" t="str">
        <v>Laura McMullen</v>
      </c>
      <c r="H84" s="1">
        <v>1</v>
      </c>
      <c r="I84" s="4">
        <v>2.6469907407407407E-2</v>
      </c>
      <c r="J84" s="1">
        <v>6</v>
      </c>
      <c r="K84" s="1">
        <v>1</v>
      </c>
      <c r="L84" s="1">
        <v>7</v>
      </c>
    </row>
    <row r="85" spans="2:12" x14ac:dyDescent="0.2">
      <c r="B85" s="1" cm="1">
        <f t="array" ref="B85">_xlfn.ANCHORARRAY('Results - W'!A7)</f>
        <v>4</v>
      </c>
      <c r="C85" t="str">
        <v>Alex Joss</v>
      </c>
      <c r="D85" s="1">
        <v>32</v>
      </c>
      <c r="F85" s="1" cm="1">
        <f t="array" ref="F85">_xlfn.ANCHORARRAY('Results - W'!E7)</f>
        <v>4</v>
      </c>
      <c r="G85" t="str">
        <v>Alessandra Scaduto</v>
      </c>
      <c r="H85" s="1">
        <v>5</v>
      </c>
      <c r="I85" s="4">
        <v>3.0138888888888889E-2</v>
      </c>
      <c r="J85" s="1">
        <v>2</v>
      </c>
      <c r="K85" s="1">
        <v>4</v>
      </c>
      <c r="L85" s="1">
        <v>6</v>
      </c>
    </row>
    <row r="86" spans="2:12" x14ac:dyDescent="0.2">
      <c r="B86" s="1" cm="1">
        <f t="array" ref="B86">_xlfn.ANCHORARRAY('Results - W'!A8)</f>
        <v>5</v>
      </c>
      <c r="C86" t="str">
        <v>Alexandra Chuchu</v>
      </c>
      <c r="D86" s="1">
        <v>29</v>
      </c>
      <c r="F86" s="1" cm="1">
        <f t="array" ref="F86">_xlfn.ANCHORARRAY('Results - W'!E8)</f>
        <v>4</v>
      </c>
      <c r="G86" t="str">
        <v>Alex Joss</v>
      </c>
      <c r="H86" s="1">
        <v>3</v>
      </c>
      <c r="I86" s="4">
        <v>2.6782407407407408E-2</v>
      </c>
      <c r="J86" s="1">
        <v>4</v>
      </c>
      <c r="K86" s="1">
        <v>2</v>
      </c>
      <c r="L86" s="1">
        <v>6</v>
      </c>
    </row>
    <row r="87" spans="2:12" x14ac:dyDescent="0.2">
      <c r="B87" s="1" cm="1">
        <f t="array" ref="B87">_xlfn.ANCHORARRAY('Results - W'!A9)</f>
        <v>6</v>
      </c>
      <c r="C87" t="str">
        <v>Phoebe Macwhinnie</v>
      </c>
      <c r="D87" s="1">
        <v>26</v>
      </c>
      <c r="F87" s="1" cm="1">
        <f t="array" ref="F87">_xlfn.ANCHORARRAY('Results - W'!E9)</f>
        <v>6</v>
      </c>
      <c r="G87" t="str">
        <v>Patricia Vilar</v>
      </c>
      <c r="H87" s="1">
        <v>6</v>
      </c>
      <c r="I87" s="4">
        <v>3.2766203703703707E-2</v>
      </c>
      <c r="J87" s="1">
        <v>1</v>
      </c>
      <c r="K87" s="1">
        <v>4</v>
      </c>
      <c r="L87" s="1">
        <v>5</v>
      </c>
    </row>
    <row r="88" spans="2:12" x14ac:dyDescent="0.2">
      <c r="B88" s="1" cm="1">
        <f t="array" ref="B88">_xlfn.ANCHORARRAY('Results - W'!A10)</f>
        <v>7</v>
      </c>
      <c r="C88" t="str">
        <v>Patricia Vilar</v>
      </c>
      <c r="D88" s="1">
        <v>21</v>
      </c>
      <c r="F88" s="1" cm="1">
        <f t="array" ref="F88">_xlfn.ANCHORARRAY('Results - W'!E10)</f>
        <v>7</v>
      </c>
      <c r="G88" t="str">
        <v>Phoebe Macwhinnie</v>
      </c>
      <c r="H88" s="1">
        <v>7</v>
      </c>
      <c r="I88" s="4">
        <v>3.3101851851851855E-2</v>
      </c>
      <c r="J88" s="1">
        <v>0</v>
      </c>
      <c r="K88" s="1">
        <v>4</v>
      </c>
      <c r="L88" s="1">
        <v>4</v>
      </c>
    </row>
    <row r="89" spans="2:12" x14ac:dyDescent="0.2">
      <c r="B89" s="1" t="str" cm="1">
        <f t="array" ref="B89">_xlfn.ANCHORARRAY('Results - W'!A11)</f>
        <v/>
      </c>
    </row>
  </sheetData>
  <mergeCells count="6">
    <mergeCell ref="B5:D5"/>
    <mergeCell ref="F5:L5"/>
    <mergeCell ref="B36:D36"/>
    <mergeCell ref="F36:L36"/>
    <mergeCell ref="B79:D79"/>
    <mergeCell ref="F79:L79"/>
  </mergeCells>
  <printOptions horizontalCentered="1" verticalCentered="1"/>
  <pageMargins left="0.5" right="0.5" top="0.75" bottom="0.75" header="0.3" footer="0.3"/>
  <pageSetup paperSize="9" scale="59" orientation="portrait" horizontalDpi="0" verticalDpi="0"/>
  <headerFooter>
    <oddFooter>&amp;R&amp;"Calibri,Regular"&amp;K000000&amp;D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663F-68D7-EC45-A431-257F42DA76A9}">
  <sheetPr>
    <pageSetUpPr fitToPage="1"/>
  </sheetPr>
  <dimension ref="B1:L89"/>
  <sheetViews>
    <sheetView workbookViewId="0">
      <selection activeCell="G9" sqref="G9"/>
    </sheetView>
  </sheetViews>
  <sheetFormatPr baseColWidth="10" defaultRowHeight="15" x14ac:dyDescent="0.2"/>
  <cols>
    <col min="1" max="1" width="3.5" customWidth="1"/>
    <col min="2" max="2" width="9" style="1" customWidth="1"/>
    <col min="3" max="3" width="19.33203125" bestFit="1" customWidth="1"/>
    <col min="4" max="4" width="10.83203125" style="1"/>
    <col min="5" max="5" width="6.33203125" customWidth="1"/>
    <col min="6" max="6" width="7" customWidth="1"/>
    <col min="7" max="7" width="21.33203125" customWidth="1"/>
    <col min="8" max="8" width="5.6640625" style="1" customWidth="1"/>
    <col min="9" max="9" width="10.83203125" style="4"/>
    <col min="10" max="12" width="10" style="1" customWidth="1"/>
  </cols>
  <sheetData>
    <row r="1" spans="2:12" ht="21" x14ac:dyDescent="0.25">
      <c r="B1" s="11" t="s">
        <v>92</v>
      </c>
    </row>
    <row r="2" spans="2:12" ht="7" customHeight="1" x14ac:dyDescent="0.25">
      <c r="B2" s="11"/>
    </row>
    <row r="3" spans="2:12" ht="21" x14ac:dyDescent="0.25">
      <c r="B3" s="11" t="s">
        <v>107</v>
      </c>
    </row>
    <row r="4" spans="2:12" ht="11" customHeight="1" x14ac:dyDescent="0.2"/>
    <row r="5" spans="2:12" ht="20" thickBot="1" x14ac:dyDescent="0.3">
      <c r="B5" s="22" t="s">
        <v>88</v>
      </c>
      <c r="C5" s="22"/>
      <c r="D5" s="22"/>
      <c r="F5" s="22" t="s">
        <v>106</v>
      </c>
      <c r="G5" s="22"/>
      <c r="H5" s="22"/>
      <c r="I5" s="22"/>
      <c r="J5" s="22"/>
      <c r="K5" s="22"/>
      <c r="L5" s="22"/>
    </row>
    <row r="6" spans="2:12" x14ac:dyDescent="0.2">
      <c r="B6" s="3" t="s">
        <v>23</v>
      </c>
      <c r="C6" s="7" t="s">
        <v>24</v>
      </c>
      <c r="D6" s="3" t="s">
        <v>27</v>
      </c>
      <c r="E6" s="3"/>
      <c r="F6" s="3" t="s">
        <v>44</v>
      </c>
      <c r="G6" s="7" t="s">
        <v>24</v>
      </c>
      <c r="H6" s="3" t="s">
        <v>45</v>
      </c>
      <c r="I6" s="9" t="s">
        <v>25</v>
      </c>
      <c r="J6" s="3" t="s">
        <v>46</v>
      </c>
      <c r="K6" s="3" t="s">
        <v>33</v>
      </c>
      <c r="L6" s="3" t="s">
        <v>26</v>
      </c>
    </row>
    <row r="7" spans="2:12" ht="7" customHeight="1" x14ac:dyDescent="0.2">
      <c r="B7" s="3"/>
      <c r="C7" s="3"/>
      <c r="D7" s="3"/>
      <c r="E7" s="3"/>
      <c r="F7" s="3"/>
      <c r="G7" s="3"/>
      <c r="H7" s="3"/>
      <c r="I7" s="9"/>
      <c r="J7" s="3"/>
      <c r="K7" s="3"/>
      <c r="L7" s="3"/>
    </row>
    <row r="8" spans="2:12" x14ac:dyDescent="0.2">
      <c r="B8" s="1" cm="1">
        <f t="array" ref="B8">_xlfn.ANCHORARRAY('Results - A'!A4)</f>
        <v>1</v>
      </c>
      <c r="C8" t="str" cm="1">
        <f t="array" ref="C8:D34">_xlfn.ANCHORARRAY('Results - A'!B4)</f>
        <v>Henrik Persson</v>
      </c>
      <c r="D8" s="1">
        <v>150</v>
      </c>
      <c r="F8" s="1" cm="1">
        <f t="array" ref="F8">_xlfn.ANCHORARRAY('Results - A'!M4)</f>
        <v>1</v>
      </c>
      <c r="G8" t="str" cm="1">
        <f t="array" ref="G8:L34">_xlfn.ANCHORARRAY('Results - A'!N4)</f>
        <v>Henrik Persson</v>
      </c>
      <c r="H8" s="1">
        <v>6</v>
      </c>
      <c r="I8" s="4">
        <v>2.0104166666666666E-2</v>
      </c>
      <c r="J8" s="1">
        <v>25</v>
      </c>
      <c r="K8" s="1">
        <v>6</v>
      </c>
      <c r="L8" s="1">
        <v>30</v>
      </c>
    </row>
    <row r="9" spans="2:12" x14ac:dyDescent="0.2">
      <c r="B9" s="1" cm="1">
        <f t="array" ref="B9">_xlfn.ANCHORARRAY('Results - A'!A5)</f>
        <v>1</v>
      </c>
      <c r="C9" t="str">
        <v>Matt de Freitas</v>
      </c>
      <c r="D9" s="1">
        <v>150</v>
      </c>
      <c r="F9" s="1" cm="1">
        <f t="array" ref="F9">_xlfn.ANCHORARRAY('Results - A'!M5)</f>
        <v>1</v>
      </c>
      <c r="G9" t="str">
        <v>James Armitage-Hobbs</v>
      </c>
      <c r="H9" s="1">
        <v>13</v>
      </c>
      <c r="I9" s="4">
        <v>2.042824074074074E-2</v>
      </c>
      <c r="J9" s="1">
        <v>18</v>
      </c>
      <c r="K9" s="1">
        <v>12</v>
      </c>
      <c r="L9" s="1">
        <v>30</v>
      </c>
    </row>
    <row r="10" spans="2:12" x14ac:dyDescent="0.2">
      <c r="B10" s="1" cm="1">
        <f t="array" ref="B10">_xlfn.ANCHORARRAY('Results - A'!A6)</f>
        <v>3</v>
      </c>
      <c r="C10" t="str">
        <v>Judah Rand</v>
      </c>
      <c r="D10" s="1">
        <v>147</v>
      </c>
      <c r="F10" s="1" cm="1">
        <f t="array" ref="F10">_xlfn.ANCHORARRAY('Results - A'!M6)</f>
        <v>1</v>
      </c>
      <c r="G10" t="str">
        <v>Matt de Freitas</v>
      </c>
      <c r="H10" s="1">
        <v>5</v>
      </c>
      <c r="I10" s="4">
        <v>2.0081018518518519E-2</v>
      </c>
      <c r="J10" s="1">
        <v>26</v>
      </c>
      <c r="K10" s="1">
        <v>6</v>
      </c>
      <c r="L10" s="1">
        <v>30</v>
      </c>
    </row>
    <row r="11" spans="2:12" x14ac:dyDescent="0.2">
      <c r="B11" s="1" cm="1">
        <f t="array" ref="B11">_xlfn.ANCHORARRAY('Results - A'!A7)</f>
        <v>4</v>
      </c>
      <c r="C11" t="str">
        <v>Tom Herbert</v>
      </c>
      <c r="D11" s="1">
        <v>143</v>
      </c>
      <c r="F11" s="1" cm="1">
        <f t="array" ref="F11">_xlfn.ANCHORARRAY('Results - A'!M7)</f>
        <v>1</v>
      </c>
      <c r="G11" t="str">
        <v>Neil Grunshaw</v>
      </c>
      <c r="H11" s="1">
        <v>7</v>
      </c>
      <c r="I11" s="4">
        <v>2.0104166666666666E-2</v>
      </c>
      <c r="J11" s="1">
        <v>24</v>
      </c>
      <c r="K11" s="1">
        <v>6</v>
      </c>
      <c r="L11" s="1">
        <v>30</v>
      </c>
    </row>
    <row r="12" spans="2:12" x14ac:dyDescent="0.2">
      <c r="B12" s="1" cm="1">
        <f t="array" ref="B12">_xlfn.ANCHORARRAY('Results - A'!A8)</f>
        <v>5</v>
      </c>
      <c r="C12" t="str">
        <v>Neil Grunshaw</v>
      </c>
      <c r="D12" s="1">
        <v>141</v>
      </c>
      <c r="F12" s="1" cm="1">
        <f t="array" ref="F12">_xlfn.ANCHORARRAY('Results - A'!M8)</f>
        <v>1</v>
      </c>
      <c r="G12" t="str">
        <v>Raif Oz</v>
      </c>
      <c r="H12" s="1">
        <v>1</v>
      </c>
      <c r="I12" s="4">
        <v>1.9965277777777776E-2</v>
      </c>
      <c r="J12" s="1">
        <v>30</v>
      </c>
      <c r="K12" s="1">
        <v>0</v>
      </c>
      <c r="L12" s="1">
        <v>30</v>
      </c>
    </row>
    <row r="13" spans="2:12" x14ac:dyDescent="0.2">
      <c r="B13" s="1" cm="1">
        <f t="array" ref="B13">_xlfn.ANCHORARRAY('Results - A'!A9)</f>
        <v>5</v>
      </c>
      <c r="C13" t="str">
        <v>Tom Kennett</v>
      </c>
      <c r="D13" s="1">
        <v>141</v>
      </c>
      <c r="F13" s="1" cm="1">
        <f t="array" ref="F13">_xlfn.ANCHORARRAY('Results - A'!M9)</f>
        <v>6</v>
      </c>
      <c r="G13" t="str">
        <v>Chris Jenkins</v>
      </c>
      <c r="H13" s="1">
        <v>8</v>
      </c>
      <c r="I13" s="4">
        <v>2.0277777777777777E-2</v>
      </c>
      <c r="J13" s="1">
        <v>23</v>
      </c>
      <c r="K13" s="1">
        <v>6</v>
      </c>
      <c r="L13" s="1">
        <v>29</v>
      </c>
    </row>
    <row r="14" spans="2:12" x14ac:dyDescent="0.2">
      <c r="B14" s="1" cm="1">
        <f t="array" ref="B14">_xlfn.ANCHORARRAY('Results - A'!A10)</f>
        <v>7</v>
      </c>
      <c r="C14" t="str">
        <v>David Wong</v>
      </c>
      <c r="D14" s="1">
        <v>139</v>
      </c>
      <c r="F14" s="1" cm="1">
        <f t="array" ref="F14">_xlfn.ANCHORARRAY('Results - A'!M10)</f>
        <v>6</v>
      </c>
      <c r="G14" t="str">
        <v>Eamon Mason</v>
      </c>
      <c r="H14" s="1">
        <v>14</v>
      </c>
      <c r="I14" s="4">
        <v>2.0625000000000001E-2</v>
      </c>
      <c r="J14" s="1">
        <v>17</v>
      </c>
      <c r="K14" s="1">
        <v>12</v>
      </c>
      <c r="L14" s="1">
        <v>29</v>
      </c>
    </row>
    <row r="15" spans="2:12" x14ac:dyDescent="0.2">
      <c r="B15" s="1" cm="1">
        <f t="array" ref="B15">_xlfn.ANCHORARRAY('Results - A'!A11)</f>
        <v>8</v>
      </c>
      <c r="C15" t="str">
        <v>Chris Jenkins</v>
      </c>
      <c r="D15" s="1">
        <v>138</v>
      </c>
      <c r="F15" s="1" cm="1">
        <f t="array" ref="F15">_xlfn.ANCHORARRAY('Results - A'!M11)</f>
        <v>6</v>
      </c>
      <c r="G15" t="str">
        <v>Tom Kennett</v>
      </c>
      <c r="H15" s="1">
        <v>2</v>
      </c>
      <c r="I15" s="4">
        <v>1.9965277777777776E-2</v>
      </c>
      <c r="J15" s="1">
        <v>29</v>
      </c>
      <c r="K15" s="1">
        <v>0</v>
      </c>
      <c r="L15" s="1">
        <v>29</v>
      </c>
    </row>
    <row r="16" spans="2:12" x14ac:dyDescent="0.2">
      <c r="B16" s="1" cm="1">
        <f t="array" ref="B16">_xlfn.ANCHORARRAY('Results - A'!A12)</f>
        <v>8</v>
      </c>
      <c r="C16" t="str">
        <v>Neal Beauchamp</v>
      </c>
      <c r="D16" s="1">
        <v>138</v>
      </c>
      <c r="F16" s="1" cm="1">
        <f t="array" ref="F16">_xlfn.ANCHORARRAY('Results - A'!M12)</f>
        <v>9</v>
      </c>
      <c r="G16" t="str">
        <v>David Wong</v>
      </c>
      <c r="H16" s="1">
        <v>15</v>
      </c>
      <c r="I16" s="4">
        <v>2.0763888888888887E-2</v>
      </c>
      <c r="J16" s="1">
        <v>16</v>
      </c>
      <c r="K16" s="1">
        <v>12</v>
      </c>
      <c r="L16" s="1">
        <v>28</v>
      </c>
    </row>
    <row r="17" spans="2:12" x14ac:dyDescent="0.2">
      <c r="B17" s="1" cm="1">
        <f t="array" ref="B17">_xlfn.ANCHORARRAY('Results - A'!A13)</f>
        <v>8</v>
      </c>
      <c r="C17" t="str">
        <v>Seb Ashton</v>
      </c>
      <c r="D17" s="1">
        <v>138</v>
      </c>
      <c r="F17" s="1" cm="1">
        <f t="array" ref="F17">_xlfn.ANCHORARRAY('Results - A'!M13)</f>
        <v>9</v>
      </c>
      <c r="G17" t="str">
        <v>Judah Rand</v>
      </c>
      <c r="H17" s="1">
        <v>3</v>
      </c>
      <c r="I17" s="4">
        <v>1.9976851851851853E-2</v>
      </c>
      <c r="J17" s="1">
        <v>28</v>
      </c>
      <c r="K17" s="1">
        <v>0</v>
      </c>
      <c r="L17" s="1">
        <v>28</v>
      </c>
    </row>
    <row r="18" spans="2:12" x14ac:dyDescent="0.2">
      <c r="B18" s="1" cm="1">
        <f t="array" ref="B18">_xlfn.ANCHORARRAY('Results - A'!A14)</f>
        <v>11</v>
      </c>
      <c r="C18" t="str">
        <v>James Bowden</v>
      </c>
      <c r="D18" s="1">
        <v>134</v>
      </c>
      <c r="F18" s="1" cm="1">
        <f t="array" ref="F18">_xlfn.ANCHORARRAY('Results - A'!M14)</f>
        <v>9</v>
      </c>
      <c r="G18" t="str">
        <v>Tom Herbert</v>
      </c>
      <c r="H18" s="1">
        <v>9</v>
      </c>
      <c r="I18" s="4">
        <v>2.0277777777777777E-2</v>
      </c>
      <c r="J18" s="1">
        <v>22</v>
      </c>
      <c r="K18" s="1">
        <v>6</v>
      </c>
      <c r="L18" s="1">
        <v>28</v>
      </c>
    </row>
    <row r="19" spans="2:12" x14ac:dyDescent="0.2">
      <c r="B19" s="1" cm="1">
        <f t="array" ref="B19">_xlfn.ANCHORARRAY('Results - A'!A15)</f>
        <v>12</v>
      </c>
      <c r="C19" t="str">
        <v>Raif Oz</v>
      </c>
      <c r="D19" s="1">
        <v>129</v>
      </c>
      <c r="F19" s="1" cm="1">
        <f t="array" ref="F19">_xlfn.ANCHORARRAY('Results - A'!M15)</f>
        <v>12</v>
      </c>
      <c r="G19" t="str">
        <v>Neal Beauchamp</v>
      </c>
      <c r="H19" s="1">
        <v>10</v>
      </c>
      <c r="I19" s="4">
        <v>2.0300925925925927E-2</v>
      </c>
      <c r="J19" s="1">
        <v>21</v>
      </c>
      <c r="K19" s="1">
        <v>6</v>
      </c>
      <c r="L19" s="1">
        <v>27</v>
      </c>
    </row>
    <row r="20" spans="2:12" x14ac:dyDescent="0.2">
      <c r="B20" s="1" cm="1">
        <f t="array" ref="B20">_xlfn.ANCHORARRAY('Results - A'!A16)</f>
        <v>13</v>
      </c>
      <c r="C20" t="str">
        <v>Alex Robertson</v>
      </c>
      <c r="D20" s="1">
        <v>128</v>
      </c>
      <c r="F20" s="1" cm="1">
        <f t="array" ref="F20">_xlfn.ANCHORARRAY('Results - A'!M16)</f>
        <v>12</v>
      </c>
      <c r="G20" t="str">
        <v>Seb Ashton</v>
      </c>
      <c r="H20" s="1">
        <v>4</v>
      </c>
      <c r="I20" s="4">
        <v>1.9976851851851853E-2</v>
      </c>
      <c r="J20" s="1">
        <v>27</v>
      </c>
      <c r="K20" s="1">
        <v>0</v>
      </c>
      <c r="L20" s="1">
        <v>27</v>
      </c>
    </row>
    <row r="21" spans="2:12" x14ac:dyDescent="0.2">
      <c r="B21" s="1" cm="1">
        <f t="array" ref="B21">_xlfn.ANCHORARRAY('Results - A'!A17)</f>
        <v>13</v>
      </c>
      <c r="C21" t="str">
        <v>Denis Whelan</v>
      </c>
      <c r="D21" s="1">
        <v>128</v>
      </c>
      <c r="F21" s="1" cm="1">
        <f t="array" ref="F21">_xlfn.ANCHORARRAY('Results - A'!M17)</f>
        <v>14</v>
      </c>
      <c r="G21" t="str">
        <v>Denis Whelan</v>
      </c>
      <c r="H21" s="1">
        <v>11</v>
      </c>
      <c r="I21" s="4">
        <v>2.0335648148148148E-2</v>
      </c>
      <c r="J21" s="1">
        <v>20</v>
      </c>
      <c r="K21" s="1">
        <v>6</v>
      </c>
      <c r="L21" s="1">
        <v>26</v>
      </c>
    </row>
    <row r="22" spans="2:12" x14ac:dyDescent="0.2">
      <c r="B22" s="1" cm="1">
        <f t="array" ref="B22">_xlfn.ANCHORARRAY('Results - A'!A18)</f>
        <v>15</v>
      </c>
      <c r="C22" t="str">
        <v>Eamon Mason</v>
      </c>
      <c r="D22" s="1">
        <v>125</v>
      </c>
      <c r="F22" s="1" cm="1">
        <f t="array" ref="F22">_xlfn.ANCHORARRAY('Results - A'!M18)</f>
        <v>14</v>
      </c>
      <c r="G22" t="str">
        <v>James Bowden</v>
      </c>
      <c r="H22" s="1">
        <v>17</v>
      </c>
      <c r="I22" s="4">
        <v>2.087962962962963E-2</v>
      </c>
      <c r="J22" s="1">
        <v>14</v>
      </c>
      <c r="K22" s="1">
        <v>12</v>
      </c>
      <c r="L22" s="1">
        <v>26</v>
      </c>
    </row>
    <row r="23" spans="2:12" x14ac:dyDescent="0.2">
      <c r="B23" s="1" cm="1">
        <f t="array" ref="B23">_xlfn.ANCHORARRAY('Results - A'!A19)</f>
        <v>16</v>
      </c>
      <c r="C23" t="str">
        <v>Alex Tate</v>
      </c>
      <c r="D23" s="1">
        <v>122</v>
      </c>
      <c r="F23" s="1" cm="1">
        <f t="array" ref="F23">_xlfn.ANCHORARRAY('Results - A'!M19)</f>
        <v>16</v>
      </c>
      <c r="G23" t="str">
        <v>Alex Tate</v>
      </c>
      <c r="H23" s="1">
        <v>18</v>
      </c>
      <c r="I23" s="4">
        <v>2.1296296296296296E-2</v>
      </c>
      <c r="J23" s="1">
        <v>13</v>
      </c>
      <c r="K23" s="1">
        <v>12</v>
      </c>
      <c r="L23" s="1">
        <v>25</v>
      </c>
    </row>
    <row r="24" spans="2:12" x14ac:dyDescent="0.2">
      <c r="B24" s="1" cm="1">
        <f t="array" ref="B24">_xlfn.ANCHORARRAY('Results - A'!A20)</f>
        <v>17</v>
      </c>
      <c r="C24" t="str">
        <v>Bill McClatchie</v>
      </c>
      <c r="D24" s="1">
        <v>121</v>
      </c>
      <c r="F24" s="1" cm="1">
        <f t="array" ref="F24">_xlfn.ANCHORARRAY('Results - A'!M20)</f>
        <v>16</v>
      </c>
      <c r="G24" t="str">
        <v>Jonny Bodey</v>
      </c>
      <c r="H24" s="1">
        <v>12</v>
      </c>
      <c r="I24" s="4">
        <v>2.0335648148148148E-2</v>
      </c>
      <c r="J24" s="1">
        <v>19</v>
      </c>
      <c r="K24" s="1">
        <v>6</v>
      </c>
      <c r="L24" s="1">
        <v>25</v>
      </c>
    </row>
    <row r="25" spans="2:12" x14ac:dyDescent="0.2">
      <c r="B25" s="1" cm="1">
        <f t="array" ref="B25">_xlfn.ANCHORARRAY('Results - A'!A21)</f>
        <v>18</v>
      </c>
      <c r="C25" t="str">
        <v>Jonny Bodey</v>
      </c>
      <c r="D25" s="1">
        <v>120</v>
      </c>
      <c r="F25" s="1" cm="1">
        <f t="array" ref="F25">_xlfn.ANCHORARRAY('Results - A'!M21)</f>
        <v>18</v>
      </c>
      <c r="G25" t="str">
        <v>Bill McClatchie</v>
      </c>
      <c r="H25" s="1">
        <v>19</v>
      </c>
      <c r="I25" s="4">
        <v>2.1296296296296296E-2</v>
      </c>
      <c r="J25" s="1">
        <v>12</v>
      </c>
      <c r="K25" s="1">
        <v>12</v>
      </c>
      <c r="L25" s="1">
        <v>24</v>
      </c>
    </row>
    <row r="26" spans="2:12" x14ac:dyDescent="0.2">
      <c r="B26" s="1" cm="1">
        <f t="array" ref="B26">_xlfn.ANCHORARRAY('Results - A'!A22)</f>
        <v>19</v>
      </c>
      <c r="C26" t="str">
        <v>Gordon Reid</v>
      </c>
      <c r="D26" s="1">
        <v>118</v>
      </c>
      <c r="F26" s="1" cm="1">
        <f t="array" ref="F26">_xlfn.ANCHORARRAY('Results - A'!M22)</f>
        <v>19</v>
      </c>
      <c r="G26" t="str">
        <v>Gordon Reid</v>
      </c>
      <c r="H26" s="1">
        <v>20</v>
      </c>
      <c r="I26" s="4">
        <v>2.1643518518518517E-2</v>
      </c>
      <c r="J26" s="1">
        <v>11</v>
      </c>
      <c r="K26" s="1">
        <v>12</v>
      </c>
      <c r="L26" s="1">
        <v>23</v>
      </c>
    </row>
    <row r="27" spans="2:12" x14ac:dyDescent="0.2">
      <c r="B27" s="1" cm="1">
        <f t="array" ref="B27">_xlfn.ANCHORARRAY('Results - A'!A23)</f>
        <v>20</v>
      </c>
      <c r="C27" t="str">
        <v>James Armitage-Hobbs</v>
      </c>
      <c r="D27" s="1">
        <v>113</v>
      </c>
      <c r="F27" s="1" cm="1">
        <f t="array" ref="F27">_xlfn.ANCHORARRAY('Results - A'!M23)</f>
        <v>20</v>
      </c>
      <c r="G27" t="str">
        <v>Alex Robertson</v>
      </c>
      <c r="H27" s="1">
        <v>21</v>
      </c>
      <c r="I27" s="4">
        <v>2.1701388888888888E-2</v>
      </c>
      <c r="J27" s="1">
        <v>10</v>
      </c>
      <c r="K27" s="1">
        <v>12</v>
      </c>
      <c r="L27" s="1">
        <v>22</v>
      </c>
    </row>
    <row r="28" spans="2:12" x14ac:dyDescent="0.2">
      <c r="B28" s="1" cm="1">
        <f t="array" ref="B28">_xlfn.ANCHORARRAY('Results - A'!A24)</f>
        <v>21</v>
      </c>
      <c r="C28" t="str">
        <v>Richard Halls</v>
      </c>
      <c r="D28" s="1">
        <v>104</v>
      </c>
      <c r="F28" s="1" cm="1">
        <f t="array" ref="F28">_xlfn.ANCHORARRAY('Results - A'!M24)</f>
        <v>21</v>
      </c>
      <c r="G28" t="str">
        <v>Richard Halls</v>
      </c>
      <c r="H28" s="1">
        <v>22</v>
      </c>
      <c r="I28" s="4">
        <v>2.1736111111111112E-2</v>
      </c>
      <c r="J28" s="1">
        <v>9</v>
      </c>
      <c r="K28" s="1">
        <v>12</v>
      </c>
      <c r="L28" s="1">
        <v>21</v>
      </c>
    </row>
    <row r="29" spans="2:12" x14ac:dyDescent="0.2">
      <c r="B29" s="1" cm="1">
        <f t="array" ref="B29">_xlfn.ANCHORARRAY('Results - A'!A25)</f>
        <v>22</v>
      </c>
      <c r="C29" t="str">
        <v>Tobi Rosenkranz</v>
      </c>
      <c r="D29" s="1">
        <v>97</v>
      </c>
      <c r="F29" s="1" cm="1">
        <f t="array" ref="F29">_xlfn.ANCHORARRAY('Results - A'!M25)</f>
        <v>21</v>
      </c>
      <c r="G29" t="str">
        <v>Tobi Rosenkranz</v>
      </c>
      <c r="H29" s="1">
        <v>16</v>
      </c>
      <c r="I29" s="4">
        <v>2.0844907407407406E-2</v>
      </c>
      <c r="J29" s="1">
        <v>15</v>
      </c>
      <c r="K29" s="1">
        <v>6</v>
      </c>
      <c r="L29" s="1">
        <v>21</v>
      </c>
    </row>
    <row r="30" spans="2:12" x14ac:dyDescent="0.2">
      <c r="B30" s="1" cm="1">
        <f t="array" ref="B30">_xlfn.ANCHORARRAY('Results - A'!A26)</f>
        <v>23</v>
      </c>
      <c r="C30" t="str">
        <v>Rupert Gordon-Watkins</v>
      </c>
      <c r="D30" s="1">
        <v>93</v>
      </c>
      <c r="F30" s="1" cm="1">
        <f t="array" ref="F30">_xlfn.ANCHORARRAY('Results - A'!M26)</f>
        <v>23</v>
      </c>
      <c r="G30" t="str">
        <v>Olly Wright</v>
      </c>
      <c r="H30" s="1">
        <v>23</v>
      </c>
      <c r="I30" s="4">
        <v>2.2013888888888888E-2</v>
      </c>
      <c r="J30" s="1">
        <v>8</v>
      </c>
      <c r="K30" s="1">
        <v>12</v>
      </c>
      <c r="L30" s="1">
        <v>20</v>
      </c>
    </row>
    <row r="31" spans="2:12" x14ac:dyDescent="0.2">
      <c r="B31" s="1" cm="1">
        <f t="array" ref="B31">_xlfn.ANCHORARRAY('Results - A'!A27)</f>
        <v>24</v>
      </c>
      <c r="C31" t="str">
        <v>Conor Walsh</v>
      </c>
      <c r="D31" s="1">
        <v>88</v>
      </c>
      <c r="F31" s="1" cm="1">
        <f t="array" ref="F31">_xlfn.ANCHORARRAY('Results - A'!M27)</f>
        <v>24</v>
      </c>
      <c r="G31" t="str">
        <v>Rupert Gordon-Watkins</v>
      </c>
      <c r="H31" s="1">
        <v>25</v>
      </c>
      <c r="I31" s="4">
        <v>2.2881944444444444E-2</v>
      </c>
      <c r="J31" s="1">
        <v>6</v>
      </c>
      <c r="K31" s="1">
        <v>12</v>
      </c>
      <c r="L31" s="1">
        <v>18</v>
      </c>
    </row>
    <row r="32" spans="2:12" x14ac:dyDescent="0.2">
      <c r="B32" s="1" cm="1">
        <f t="array" ref="B32">_xlfn.ANCHORARRAY('Results - A'!A28)</f>
        <v>24</v>
      </c>
      <c r="C32" t="str">
        <v>Olly Wright</v>
      </c>
      <c r="D32" s="1">
        <v>88</v>
      </c>
      <c r="F32" s="1" cm="1">
        <f t="array" ref="F32">_xlfn.ANCHORARRAY('Results - A'!M28)</f>
        <v>25</v>
      </c>
      <c r="G32" t="str">
        <v>Richard Turner</v>
      </c>
      <c r="H32" s="1">
        <v>24</v>
      </c>
      <c r="I32" s="4">
        <v>2.2453703703703705E-2</v>
      </c>
      <c r="J32" s="1">
        <v>7</v>
      </c>
      <c r="K32" s="1">
        <v>6</v>
      </c>
      <c r="L32" s="1">
        <v>13</v>
      </c>
    </row>
    <row r="33" spans="2:12" x14ac:dyDescent="0.2">
      <c r="B33" s="1" cm="1">
        <f t="array" ref="B33">_xlfn.ANCHORARRAY('Results - A'!A29)</f>
        <v>26</v>
      </c>
      <c r="C33" t="str">
        <v>Marcus Jones</v>
      </c>
      <c r="D33" s="1">
        <v>62</v>
      </c>
      <c r="F33" s="1" cm="1">
        <f t="array" ref="F33">_xlfn.ANCHORARRAY('Results - A'!M29)</f>
        <v>26</v>
      </c>
      <c r="G33" t="str">
        <v>Marcus Jones</v>
      </c>
      <c r="H33" s="1">
        <v>26</v>
      </c>
      <c r="I33" s="4">
        <v>2.4537037037037038E-2</v>
      </c>
      <c r="J33" s="1">
        <v>5</v>
      </c>
      <c r="K33" s="1">
        <v>6</v>
      </c>
      <c r="L33" s="1">
        <v>11</v>
      </c>
    </row>
    <row r="34" spans="2:12" x14ac:dyDescent="0.2">
      <c r="B34" s="1" cm="1">
        <f t="array" ref="B34">_xlfn.ANCHORARRAY('Results - A'!A30)</f>
        <v>27</v>
      </c>
      <c r="C34" t="str">
        <v>Richard Turner</v>
      </c>
      <c r="D34" s="1">
        <v>61</v>
      </c>
      <c r="F34" s="1" cm="1">
        <f t="array" ref="F34">_xlfn.ANCHORARRAY('Results - A'!M30)</f>
        <v>27</v>
      </c>
      <c r="G34" t="str">
        <v>Conor Walsh</v>
      </c>
      <c r="H34" s="1">
        <v>27</v>
      </c>
      <c r="I34" s="4">
        <v>2.4537037037037038E-2</v>
      </c>
      <c r="J34" s="1">
        <v>4</v>
      </c>
      <c r="K34" s="1">
        <v>0</v>
      </c>
      <c r="L34" s="1">
        <v>4</v>
      </c>
    </row>
    <row r="36" spans="2:12" ht="20" thickBot="1" x14ac:dyDescent="0.3">
      <c r="B36" s="22" t="s">
        <v>90</v>
      </c>
      <c r="C36" s="22"/>
      <c r="D36" s="22"/>
      <c r="F36" s="22" t="s">
        <v>108</v>
      </c>
      <c r="G36" s="22"/>
      <c r="H36" s="22"/>
      <c r="I36" s="22"/>
      <c r="J36" s="22"/>
      <c r="K36" s="22"/>
      <c r="L36" s="22"/>
    </row>
    <row r="37" spans="2:12" x14ac:dyDescent="0.2">
      <c r="B37" s="3" t="s">
        <v>23</v>
      </c>
      <c r="C37" s="7" t="s">
        <v>24</v>
      </c>
      <c r="D37" s="3" t="s">
        <v>27</v>
      </c>
      <c r="E37" s="3"/>
      <c r="F37" s="3" t="s">
        <v>44</v>
      </c>
      <c r="G37" s="7" t="s">
        <v>24</v>
      </c>
      <c r="H37" s="3" t="s">
        <v>45</v>
      </c>
      <c r="I37" s="9" t="s">
        <v>25</v>
      </c>
      <c r="J37" s="3" t="s">
        <v>46</v>
      </c>
      <c r="K37" s="3" t="s">
        <v>33</v>
      </c>
      <c r="L37" s="3" t="s">
        <v>26</v>
      </c>
    </row>
    <row r="38" spans="2:12" ht="7" customHeight="1" x14ac:dyDescent="0.2"/>
    <row r="39" spans="2:12" x14ac:dyDescent="0.2">
      <c r="B39" s="1" cm="1">
        <f t="array" ref="B39">_xlfn.ANCHORARRAY('Results - B'!A4)</f>
        <v>1</v>
      </c>
      <c r="C39" t="str" cm="1">
        <f t="array" ref="C39:D78">_xlfn.ANCHORARRAY('Results - B'!B4)</f>
        <v>Russell Beard</v>
      </c>
      <c r="D39" s="1">
        <v>200</v>
      </c>
      <c r="F39" s="1" cm="1">
        <f t="array" ref="F39">_xlfn.ANCHORARRAY('Results - B'!M4)</f>
        <v>1</v>
      </c>
      <c r="G39" t="str" cm="1">
        <f t="array" ref="G39:L78">_xlfn.ANCHORARRAY('Results - B'!N4)</f>
        <v>Rich Southcott</v>
      </c>
      <c r="H39" s="1">
        <v>1</v>
      </c>
      <c r="I39" s="4">
        <v>2.1006944444444446E-2</v>
      </c>
      <c r="J39" s="1">
        <v>40</v>
      </c>
      <c r="K39" s="1">
        <v>0</v>
      </c>
      <c r="L39" s="1">
        <v>40</v>
      </c>
    </row>
    <row r="40" spans="2:12" x14ac:dyDescent="0.2">
      <c r="B40" s="1" cm="1">
        <f t="array" ref="B40">_xlfn.ANCHORARRAY('Results - B'!A5)</f>
        <v>2</v>
      </c>
      <c r="C40" t="str">
        <v>Rich Southcott</v>
      </c>
      <c r="D40" s="1">
        <v>199</v>
      </c>
      <c r="F40" s="1" cm="1">
        <f t="array" ref="F40">_xlfn.ANCHORARRAY('Results - B'!M5)</f>
        <v>1</v>
      </c>
      <c r="G40" t="str">
        <v>Russell Beard</v>
      </c>
      <c r="H40" s="1">
        <v>9</v>
      </c>
      <c r="I40" s="4">
        <v>2.2291666666666668E-2</v>
      </c>
      <c r="J40" s="1">
        <v>32</v>
      </c>
      <c r="K40" s="1">
        <v>8</v>
      </c>
      <c r="L40" s="1">
        <v>40</v>
      </c>
    </row>
    <row r="41" spans="2:12" x14ac:dyDescent="0.2">
      <c r="B41" s="1" cm="1">
        <f t="array" ref="B41">_xlfn.ANCHORARRAY('Results - B'!A6)</f>
        <v>3</v>
      </c>
      <c r="C41" t="str">
        <v xml:space="preserve">David Willis </v>
      </c>
      <c r="D41" s="1">
        <v>196</v>
      </c>
      <c r="F41" s="1" cm="1">
        <f t="array" ref="F41">_xlfn.ANCHORARRAY('Results - B'!M6)</f>
        <v>3</v>
      </c>
      <c r="G41" t="str">
        <v xml:space="preserve">David Willis </v>
      </c>
      <c r="H41" s="1">
        <v>2</v>
      </c>
      <c r="I41" s="4">
        <v>2.1099537037037038E-2</v>
      </c>
      <c r="J41" s="1">
        <v>39</v>
      </c>
      <c r="K41" s="1">
        <v>0</v>
      </c>
      <c r="L41" s="1">
        <v>39</v>
      </c>
    </row>
    <row r="42" spans="2:12" x14ac:dyDescent="0.2">
      <c r="B42" s="1" cm="1">
        <f t="array" ref="B42">_xlfn.ANCHORARRAY('Results - B'!A7)</f>
        <v>4</v>
      </c>
      <c r="C42" t="str">
        <v>James Turner</v>
      </c>
      <c r="D42" s="1">
        <v>194</v>
      </c>
      <c r="F42" s="1" cm="1">
        <f t="array" ref="F42">_xlfn.ANCHORARRAY('Results - B'!M7)</f>
        <v>4</v>
      </c>
      <c r="G42" t="str">
        <v>David Griffiths</v>
      </c>
      <c r="H42" s="1">
        <v>11</v>
      </c>
      <c r="I42" s="4">
        <v>2.2499999999999999E-2</v>
      </c>
      <c r="J42" s="1">
        <v>30</v>
      </c>
      <c r="K42" s="1">
        <v>8</v>
      </c>
      <c r="L42" s="1">
        <v>38</v>
      </c>
    </row>
    <row r="43" spans="2:12" x14ac:dyDescent="0.2">
      <c r="B43" s="1" cm="1">
        <f t="array" ref="B43">_xlfn.ANCHORARRAY('Results - B'!A8)</f>
        <v>5</v>
      </c>
      <c r="C43" t="str">
        <v>Peter Lyons</v>
      </c>
      <c r="D43" s="1">
        <v>189</v>
      </c>
      <c r="F43" s="1" cm="1">
        <f t="array" ref="F43">_xlfn.ANCHORARRAY('Results - B'!M8)</f>
        <v>4</v>
      </c>
      <c r="G43" t="str">
        <v>Martyn Hopping</v>
      </c>
      <c r="H43" s="1">
        <v>19</v>
      </c>
      <c r="I43" s="4">
        <v>2.3310185185185184E-2</v>
      </c>
      <c r="J43" s="1">
        <v>22</v>
      </c>
      <c r="K43" s="1">
        <v>16</v>
      </c>
      <c r="L43" s="1">
        <v>38</v>
      </c>
    </row>
    <row r="44" spans="2:12" x14ac:dyDescent="0.2">
      <c r="B44" s="1" cm="1">
        <f t="array" ref="B44">_xlfn.ANCHORARRAY('Results - B'!A9)</f>
        <v>6</v>
      </c>
      <c r="C44" t="str">
        <v>Laura McMullen</v>
      </c>
      <c r="D44" s="1">
        <v>188</v>
      </c>
      <c r="F44" s="1" cm="1">
        <f t="array" ref="F44">_xlfn.ANCHORARRAY('Results - B'!M9)</f>
        <v>4</v>
      </c>
      <c r="G44" t="str">
        <v>Peter Lyons</v>
      </c>
      <c r="H44" s="1">
        <v>3</v>
      </c>
      <c r="I44" s="4">
        <v>2.1377314814814814E-2</v>
      </c>
      <c r="J44" s="1">
        <v>38</v>
      </c>
      <c r="K44" s="1">
        <v>0</v>
      </c>
      <c r="L44" s="1">
        <v>38</v>
      </c>
    </row>
    <row r="45" spans="2:12" x14ac:dyDescent="0.2">
      <c r="B45" s="1" cm="1">
        <f t="array" ref="B45">_xlfn.ANCHORARRAY('Results - B'!A10)</f>
        <v>7</v>
      </c>
      <c r="C45" t="str">
        <v>Sean Haywood</v>
      </c>
      <c r="D45" s="1">
        <v>185</v>
      </c>
      <c r="F45" s="1" cm="1">
        <f t="array" ref="F45">_xlfn.ANCHORARRAY('Results - B'!M10)</f>
        <v>7</v>
      </c>
      <c r="G45" t="str">
        <v>Sean Haywood</v>
      </c>
      <c r="H45" s="1">
        <v>4</v>
      </c>
      <c r="I45" s="4">
        <v>2.1377314814814814E-2</v>
      </c>
      <c r="J45" s="1">
        <v>37</v>
      </c>
      <c r="K45" s="1">
        <v>0</v>
      </c>
      <c r="L45" s="1">
        <v>37</v>
      </c>
    </row>
    <row r="46" spans="2:12" x14ac:dyDescent="0.2">
      <c r="B46" s="1" cm="1">
        <f t="array" ref="B46">_xlfn.ANCHORARRAY('Results - B'!A11)</f>
        <v>8</v>
      </c>
      <c r="C46" t="str">
        <v>Luke Fenney</v>
      </c>
      <c r="D46" s="1">
        <v>182</v>
      </c>
      <c r="F46" s="1" cm="1">
        <f t="array" ref="F46">_xlfn.ANCHORARRAY('Results - B'!M11)</f>
        <v>8</v>
      </c>
      <c r="G46" t="str">
        <v>Alessandra Scaduto</v>
      </c>
      <c r="H46" s="1">
        <v>27</v>
      </c>
      <c r="I46" s="4">
        <v>2.5046296296296296E-2</v>
      </c>
      <c r="J46" s="1">
        <v>14</v>
      </c>
      <c r="K46" s="1">
        <v>22</v>
      </c>
      <c r="L46" s="1">
        <v>36</v>
      </c>
    </row>
    <row r="47" spans="2:12" x14ac:dyDescent="0.2">
      <c r="B47" s="1" cm="1">
        <f t="array" ref="B47">_xlfn.ANCHORARRAY('Results - B'!A12)</f>
        <v>9</v>
      </c>
      <c r="C47" t="str">
        <v>Alex Joss</v>
      </c>
      <c r="D47" s="1">
        <v>178</v>
      </c>
      <c r="F47" s="1" cm="1">
        <f t="array" ref="F47">_xlfn.ANCHORARRAY('Results - B'!M12)</f>
        <v>8</v>
      </c>
      <c r="G47" t="str">
        <v>Jeremy Sharpe</v>
      </c>
      <c r="H47" s="1">
        <v>13</v>
      </c>
      <c r="I47" s="4">
        <v>2.255787037037037E-2</v>
      </c>
      <c r="J47" s="1">
        <v>28</v>
      </c>
      <c r="K47" s="1">
        <v>8</v>
      </c>
      <c r="L47" s="1">
        <v>36</v>
      </c>
    </row>
    <row r="48" spans="2:12" x14ac:dyDescent="0.2">
      <c r="B48" s="1" cm="1">
        <f t="array" ref="B48">_xlfn.ANCHORARRAY('Results - B'!A13)</f>
        <v>10</v>
      </c>
      <c r="C48" t="str">
        <v>Alessandra Scaduto</v>
      </c>
      <c r="D48" s="1">
        <v>170</v>
      </c>
      <c r="F48" s="1" cm="1">
        <f t="array" ref="F48">_xlfn.ANCHORARRAY('Results - B'!M13)</f>
        <v>8</v>
      </c>
      <c r="G48" t="str">
        <v>Mark Presland</v>
      </c>
      <c r="H48" s="1">
        <v>5</v>
      </c>
      <c r="I48" s="4">
        <v>2.1666666666666667E-2</v>
      </c>
      <c r="J48" s="1">
        <v>36</v>
      </c>
      <c r="K48" s="1">
        <v>0</v>
      </c>
      <c r="L48" s="1">
        <v>36</v>
      </c>
    </row>
    <row r="49" spans="2:12" x14ac:dyDescent="0.2">
      <c r="B49" s="1" cm="1">
        <f t="array" ref="B49">_xlfn.ANCHORARRAY('Results - B'!A14)</f>
        <v>11</v>
      </c>
      <c r="C49" t="str">
        <v>David Griffiths</v>
      </c>
      <c r="D49" s="1">
        <v>168</v>
      </c>
      <c r="F49" s="1" cm="1">
        <f t="array" ref="F49">_xlfn.ANCHORARRAY('Results - B'!M14)</f>
        <v>11</v>
      </c>
      <c r="G49" t="str">
        <v>Justin Goold</v>
      </c>
      <c r="H49" s="1">
        <v>14</v>
      </c>
      <c r="I49" s="4">
        <v>2.2592592592592591E-2</v>
      </c>
      <c r="J49" s="1">
        <v>27</v>
      </c>
      <c r="K49" s="1">
        <v>8</v>
      </c>
      <c r="L49" s="1">
        <v>35</v>
      </c>
    </row>
    <row r="50" spans="2:12" x14ac:dyDescent="0.2">
      <c r="B50" s="1" cm="1">
        <f t="array" ref="B50">_xlfn.ANCHORARRAY('Results - B'!A15)</f>
        <v>12</v>
      </c>
      <c r="C50" t="str">
        <v>Alex Wilson-Jones</v>
      </c>
      <c r="D50" s="1">
        <v>166</v>
      </c>
      <c r="F50" s="1" cm="1">
        <f t="array" ref="F50">_xlfn.ANCHORARRAY('Results - B'!M15)</f>
        <v>11</v>
      </c>
      <c r="G50" t="str">
        <v>Luke Benfield</v>
      </c>
      <c r="H50" s="1">
        <v>6</v>
      </c>
      <c r="I50" s="4">
        <v>2.1759259259259259E-2</v>
      </c>
      <c r="J50" s="1">
        <v>35</v>
      </c>
      <c r="K50" s="1">
        <v>0</v>
      </c>
      <c r="L50" s="1">
        <v>35</v>
      </c>
    </row>
    <row r="51" spans="2:12" x14ac:dyDescent="0.2">
      <c r="B51" s="1" cm="1">
        <f t="array" ref="B51">_xlfn.ANCHORARRAY('Results - B'!A16)</f>
        <v>13</v>
      </c>
      <c r="C51" t="str">
        <v>Joe Barrett</v>
      </c>
      <c r="D51" s="1">
        <v>164</v>
      </c>
      <c r="F51" s="1" cm="1">
        <f t="array" ref="F51">_xlfn.ANCHORARRAY('Results - B'!M16)</f>
        <v>11</v>
      </c>
      <c r="G51" t="str">
        <v>Luke Fenney</v>
      </c>
      <c r="H51" s="1">
        <v>22</v>
      </c>
      <c r="I51" s="4">
        <v>2.3935185185185184E-2</v>
      </c>
      <c r="J51" s="1">
        <v>19</v>
      </c>
      <c r="K51" s="1">
        <v>16</v>
      </c>
      <c r="L51" s="1">
        <v>35</v>
      </c>
    </row>
    <row r="52" spans="2:12" x14ac:dyDescent="0.2">
      <c r="B52" s="1" cm="1">
        <f t="array" ref="B52">_xlfn.ANCHORARRAY('Results - B'!A17)</f>
        <v>14</v>
      </c>
      <c r="C52" t="str">
        <v>Jeremy Sharpe</v>
      </c>
      <c r="D52" s="1">
        <v>163</v>
      </c>
      <c r="F52" s="1" cm="1">
        <f t="array" ref="F52">_xlfn.ANCHORARRAY('Results - B'!M17)</f>
        <v>14</v>
      </c>
      <c r="G52" t="str">
        <v>Alan Grant</v>
      </c>
      <c r="H52" s="1">
        <v>7</v>
      </c>
      <c r="I52" s="4">
        <v>2.2048611111111113E-2</v>
      </c>
      <c r="J52" s="1">
        <v>34</v>
      </c>
      <c r="K52" s="1">
        <v>0</v>
      </c>
      <c r="L52" s="1">
        <v>34</v>
      </c>
    </row>
    <row r="53" spans="2:12" x14ac:dyDescent="0.2">
      <c r="B53" s="1" cm="1">
        <f t="array" ref="B53">_xlfn.ANCHORARRAY('Results - B'!A18)</f>
        <v>15</v>
      </c>
      <c r="C53" t="str">
        <v>Alexandra Chuchu</v>
      </c>
      <c r="D53" s="1">
        <v>162</v>
      </c>
      <c r="F53" s="1" cm="1">
        <f t="array" ref="F53">_xlfn.ANCHORARRAY('Results - B'!M18)</f>
        <v>14</v>
      </c>
      <c r="G53" t="str">
        <v>James Turner</v>
      </c>
      <c r="H53" s="1">
        <v>29</v>
      </c>
      <c r="I53" s="4">
        <v>2.5439814814814814E-2</v>
      </c>
      <c r="J53" s="1">
        <v>12</v>
      </c>
      <c r="K53" s="1">
        <v>22</v>
      </c>
      <c r="L53" s="1">
        <v>34</v>
      </c>
    </row>
    <row r="54" spans="2:12" x14ac:dyDescent="0.2">
      <c r="B54" s="1" cm="1">
        <f t="array" ref="B54">_xlfn.ANCHORARRAY('Results - B'!A19)</f>
        <v>16</v>
      </c>
      <c r="C54" t="str">
        <v>Martyn Hopping</v>
      </c>
      <c r="D54" s="1">
        <v>160</v>
      </c>
      <c r="F54" s="1" cm="1">
        <f t="array" ref="F54">_xlfn.ANCHORARRAY('Results - B'!M19)</f>
        <v>14</v>
      </c>
      <c r="G54" t="str">
        <v>Laura McMullen</v>
      </c>
      <c r="H54" s="1">
        <v>15</v>
      </c>
      <c r="I54" s="4">
        <v>2.2708333333333334E-2</v>
      </c>
      <c r="J54" s="1">
        <v>26</v>
      </c>
      <c r="K54" s="1">
        <v>8</v>
      </c>
      <c r="L54" s="1">
        <v>34</v>
      </c>
    </row>
    <row r="55" spans="2:12" x14ac:dyDescent="0.2">
      <c r="B55" s="1" cm="1">
        <f t="array" ref="B55">_xlfn.ANCHORARRAY('Results - B'!A20)</f>
        <v>17</v>
      </c>
      <c r="C55" t="str">
        <v>Luke Benfield</v>
      </c>
      <c r="D55" s="1">
        <v>159</v>
      </c>
      <c r="F55" s="1" cm="1">
        <f t="array" ref="F55">_xlfn.ANCHORARRAY('Results - B'!M20)</f>
        <v>17</v>
      </c>
      <c r="G55" t="str">
        <v>Alex Wilson-Jones</v>
      </c>
      <c r="H55" s="1">
        <v>16</v>
      </c>
      <c r="I55" s="4">
        <v>2.2766203703703705E-2</v>
      </c>
      <c r="J55" s="1">
        <v>25</v>
      </c>
      <c r="K55" s="1">
        <v>8</v>
      </c>
      <c r="L55" s="1">
        <v>33</v>
      </c>
    </row>
    <row r="56" spans="2:12" x14ac:dyDescent="0.2">
      <c r="B56" s="1" cm="1">
        <f t="array" ref="B56">_xlfn.ANCHORARRAY('Results - B'!A21)</f>
        <v>18</v>
      </c>
      <c r="C56" t="str">
        <v xml:space="preserve">Nick Dumonde </v>
      </c>
      <c r="D56" s="1">
        <v>156</v>
      </c>
      <c r="F56" s="1" cm="1">
        <f t="array" ref="F56">_xlfn.ANCHORARRAY('Results - B'!M21)</f>
        <v>17</v>
      </c>
      <c r="G56" t="str">
        <v>David Goddard</v>
      </c>
      <c r="H56" s="1">
        <v>8</v>
      </c>
      <c r="I56" s="4">
        <v>2.2268518518518517E-2</v>
      </c>
      <c r="J56" s="1">
        <v>33</v>
      </c>
      <c r="K56" s="1">
        <v>0</v>
      </c>
      <c r="L56" s="1">
        <v>33</v>
      </c>
    </row>
    <row r="57" spans="2:12" x14ac:dyDescent="0.2">
      <c r="B57" s="1" cm="1">
        <f t="array" ref="B57">_xlfn.ANCHORARRAY('Results - B'!A22)</f>
        <v>18</v>
      </c>
      <c r="C57" t="str">
        <v>Simon White</v>
      </c>
      <c r="D57" s="1">
        <v>156</v>
      </c>
      <c r="F57" s="1" cm="1">
        <f t="array" ref="F57">_xlfn.ANCHORARRAY('Results - B'!M22)</f>
        <v>17</v>
      </c>
      <c r="G57" t="str">
        <v>Matt Wynn</v>
      </c>
      <c r="H57" s="1">
        <v>24</v>
      </c>
      <c r="I57" s="4">
        <v>2.4363425925925927E-2</v>
      </c>
      <c r="J57" s="1">
        <v>17</v>
      </c>
      <c r="K57" s="1">
        <v>16</v>
      </c>
      <c r="L57" s="1">
        <v>33</v>
      </c>
    </row>
    <row r="58" spans="2:12" x14ac:dyDescent="0.2">
      <c r="B58" s="1" cm="1">
        <f t="array" ref="B58">_xlfn.ANCHORARRAY('Results - B'!A23)</f>
        <v>20</v>
      </c>
      <c r="C58" t="str">
        <v>Phoebe Macwhinnie</v>
      </c>
      <c r="D58" s="1">
        <v>155</v>
      </c>
      <c r="F58" s="1" cm="1">
        <f t="array" ref="F58">_xlfn.ANCHORARRAY('Results - B'!M23)</f>
        <v>20</v>
      </c>
      <c r="G58" t="str">
        <v>Simon White</v>
      </c>
      <c r="H58" s="1">
        <v>17</v>
      </c>
      <c r="I58" s="4">
        <v>2.2824074074074073E-2</v>
      </c>
      <c r="J58" s="1">
        <v>24</v>
      </c>
      <c r="K58" s="1">
        <v>8</v>
      </c>
      <c r="L58" s="1">
        <v>32</v>
      </c>
    </row>
    <row r="59" spans="2:12" x14ac:dyDescent="0.2">
      <c r="B59" s="1" cm="1">
        <f t="array" ref="B59">_xlfn.ANCHORARRAY('Results - B'!A24)</f>
        <v>20</v>
      </c>
      <c r="C59" t="str">
        <v>Tom Bagley</v>
      </c>
      <c r="D59" s="1">
        <v>155</v>
      </c>
      <c r="F59" s="1" cm="1">
        <f t="array" ref="F59">_xlfn.ANCHORARRAY('Results - B'!M24)</f>
        <v>20</v>
      </c>
      <c r="G59" t="str">
        <v>Tom Bagley</v>
      </c>
      <c r="H59" s="1">
        <v>25</v>
      </c>
      <c r="I59" s="4">
        <v>2.4849537037037038E-2</v>
      </c>
      <c r="J59" s="1">
        <v>16</v>
      </c>
      <c r="K59" s="1">
        <v>16</v>
      </c>
      <c r="L59" s="1">
        <v>32</v>
      </c>
    </row>
    <row r="60" spans="2:12" x14ac:dyDescent="0.2">
      <c r="B60" s="1" cm="1">
        <f t="array" ref="B60">_xlfn.ANCHORARRAY('Results - B'!A25)</f>
        <v>22</v>
      </c>
      <c r="C60" t="str">
        <v>Patricia Villar</v>
      </c>
      <c r="D60" s="1">
        <v>153</v>
      </c>
      <c r="F60" s="1" cm="1">
        <f t="array" ref="F60">_xlfn.ANCHORARRAY('Results - B'!M25)</f>
        <v>22</v>
      </c>
      <c r="G60" t="str">
        <v>Alex Joss</v>
      </c>
      <c r="H60" s="1">
        <v>18</v>
      </c>
      <c r="I60" s="4">
        <v>2.329861111111111E-2</v>
      </c>
      <c r="J60" s="1">
        <v>23</v>
      </c>
      <c r="K60" s="1">
        <v>8</v>
      </c>
      <c r="L60" s="1">
        <v>31</v>
      </c>
    </row>
    <row r="61" spans="2:12" x14ac:dyDescent="0.2">
      <c r="B61" s="1" cm="1">
        <f t="array" ref="B61">_xlfn.ANCHORARRAY('Results - B'!A26)</f>
        <v>23</v>
      </c>
      <c r="C61" t="str">
        <v>Matt Wynn</v>
      </c>
      <c r="D61" s="1">
        <v>149</v>
      </c>
      <c r="F61" s="1" cm="1">
        <f t="array" ref="F61">_xlfn.ANCHORARRAY('Results - B'!M26)</f>
        <v>22</v>
      </c>
      <c r="G61" t="str">
        <v>Alexandra Chuchu</v>
      </c>
      <c r="H61" s="1">
        <v>32</v>
      </c>
      <c r="I61" s="4">
        <v>2.6111111111111113E-2</v>
      </c>
      <c r="J61" s="1">
        <v>9</v>
      </c>
      <c r="K61" s="1">
        <v>22</v>
      </c>
      <c r="L61" s="1">
        <v>31</v>
      </c>
    </row>
    <row r="62" spans="2:12" x14ac:dyDescent="0.2">
      <c r="B62" s="1" cm="1">
        <f t="array" ref="B62">_xlfn.ANCHORARRAY('Results - B'!A27)</f>
        <v>24</v>
      </c>
      <c r="C62" t="str">
        <v>Paul Davey</v>
      </c>
      <c r="D62" s="1">
        <v>145</v>
      </c>
      <c r="F62" s="1" cm="1">
        <f t="array" ref="F62">_xlfn.ANCHORARRAY('Results - B'!M27)</f>
        <v>22</v>
      </c>
      <c r="G62" t="str">
        <v>Joe Barrett</v>
      </c>
      <c r="H62" s="1">
        <v>10</v>
      </c>
      <c r="I62" s="4">
        <v>2.2314814814814815E-2</v>
      </c>
      <c r="J62" s="1">
        <v>31</v>
      </c>
      <c r="K62" s="1">
        <v>0</v>
      </c>
      <c r="L62" s="1">
        <v>31</v>
      </c>
    </row>
    <row r="63" spans="2:12" x14ac:dyDescent="0.2">
      <c r="B63" s="1" cm="1">
        <f t="array" ref="B63">_xlfn.ANCHORARRAY('Results - B'!A28)</f>
        <v>25</v>
      </c>
      <c r="C63" t="str">
        <v>Peter King</v>
      </c>
      <c r="D63" s="1">
        <v>144</v>
      </c>
      <c r="F63" s="1" cm="1">
        <f t="array" ref="F63">_xlfn.ANCHORARRAY('Results - B'!M28)</f>
        <v>25</v>
      </c>
      <c r="G63" t="str">
        <v>Phoebe Macwhinnie</v>
      </c>
      <c r="H63" s="1">
        <v>33</v>
      </c>
      <c r="I63" s="4">
        <v>2.6168981481481481E-2</v>
      </c>
      <c r="J63" s="1">
        <v>8</v>
      </c>
      <c r="K63" s="1">
        <v>22</v>
      </c>
      <c r="L63" s="1">
        <v>30</v>
      </c>
    </row>
    <row r="64" spans="2:12" x14ac:dyDescent="0.2">
      <c r="B64" s="1" cm="1">
        <f t="array" ref="B64">_xlfn.ANCHORARRAY('Results - B'!A29)</f>
        <v>26</v>
      </c>
      <c r="C64" t="str">
        <v>Gareth Edwards</v>
      </c>
      <c r="D64" s="1">
        <v>141</v>
      </c>
      <c r="F64" s="1" cm="1">
        <f t="array" ref="F64">_xlfn.ANCHORARRAY('Results - B'!M29)</f>
        <v>26</v>
      </c>
      <c r="G64" t="str">
        <v>Patricia Villar</v>
      </c>
      <c r="H64" s="1">
        <v>34</v>
      </c>
      <c r="I64" s="4">
        <v>2.6226851851851852E-2</v>
      </c>
      <c r="J64" s="1">
        <v>7</v>
      </c>
      <c r="K64" s="1">
        <v>22</v>
      </c>
      <c r="L64" s="1">
        <v>29</v>
      </c>
    </row>
    <row r="65" spans="2:12" x14ac:dyDescent="0.2">
      <c r="B65" s="1" cm="1">
        <f t="array" ref="B65">_xlfn.ANCHORARRAY('Results - B'!A30)</f>
        <v>27</v>
      </c>
      <c r="C65" t="str">
        <v>David Goddard</v>
      </c>
      <c r="D65" s="1">
        <v>140</v>
      </c>
      <c r="F65" s="1" cm="1">
        <f t="array" ref="F65">_xlfn.ANCHORARRAY('Results - B'!M30)</f>
        <v>26</v>
      </c>
      <c r="G65" t="str">
        <v>Paul Davey</v>
      </c>
      <c r="H65" s="1">
        <v>12</v>
      </c>
      <c r="I65" s="4">
        <v>2.2511574074074073E-2</v>
      </c>
      <c r="J65" s="1">
        <v>29</v>
      </c>
      <c r="K65" s="1">
        <v>0</v>
      </c>
      <c r="L65" s="1">
        <v>29</v>
      </c>
    </row>
    <row r="66" spans="2:12" x14ac:dyDescent="0.2">
      <c r="B66" s="1" cm="1">
        <f t="array" ref="B66">_xlfn.ANCHORARRAY('Results - B'!A31)</f>
        <v>27</v>
      </c>
      <c r="C66" t="str">
        <v>Justin Goold</v>
      </c>
      <c r="D66" s="1">
        <v>140</v>
      </c>
      <c r="F66" s="1" cm="1">
        <f t="array" ref="F66">_xlfn.ANCHORARRAY('Results - B'!M31)</f>
        <v>28</v>
      </c>
      <c r="G66" t="str">
        <v>Gareth Edwards</v>
      </c>
      <c r="H66" s="1">
        <v>21</v>
      </c>
      <c r="I66" s="4">
        <v>2.3715277777777776E-2</v>
      </c>
      <c r="J66" s="1">
        <v>20</v>
      </c>
      <c r="K66" s="1">
        <v>8</v>
      </c>
      <c r="L66" s="1">
        <v>28</v>
      </c>
    </row>
    <row r="67" spans="2:12" x14ac:dyDescent="0.2">
      <c r="B67" s="1" cm="1">
        <f t="array" ref="B67">_xlfn.ANCHORARRAY('Results - B'!A32)</f>
        <v>29</v>
      </c>
      <c r="C67" t="str">
        <v>Funking Baxter</v>
      </c>
      <c r="D67" s="1">
        <v>138</v>
      </c>
      <c r="F67" s="1" cm="1">
        <f t="array" ref="F67">_xlfn.ANCHORARRAY('Results - B'!M32)</f>
        <v>28</v>
      </c>
      <c r="G67" t="str">
        <v>Jonny Vaux</v>
      </c>
      <c r="H67" s="1">
        <v>35</v>
      </c>
      <c r="I67" s="4">
        <v>2.7997685185185184E-2</v>
      </c>
      <c r="J67" s="1">
        <v>6</v>
      </c>
      <c r="K67" s="1">
        <v>22</v>
      </c>
      <c r="L67" s="1">
        <v>28</v>
      </c>
    </row>
    <row r="68" spans="2:12" x14ac:dyDescent="0.2">
      <c r="B68" s="1" cm="1">
        <f t="array" ref="B68">_xlfn.ANCHORARRAY('Results - B'!A33)</f>
        <v>30</v>
      </c>
      <c r="C68" t="str">
        <v>Mark Presland</v>
      </c>
      <c r="D68" s="1">
        <v>134</v>
      </c>
      <c r="F68" s="1" cm="1">
        <f t="array" ref="F68">_xlfn.ANCHORARRAY('Results - B'!M33)</f>
        <v>30</v>
      </c>
      <c r="G68" t="str">
        <v>Harvey Jackson</v>
      </c>
      <c r="H68" s="1">
        <v>30</v>
      </c>
      <c r="I68" s="4">
        <v>2.5532407407407406E-2</v>
      </c>
      <c r="J68" s="1">
        <v>11</v>
      </c>
      <c r="K68" s="1">
        <v>16</v>
      </c>
      <c r="L68" s="1">
        <v>27</v>
      </c>
    </row>
    <row r="69" spans="2:12" x14ac:dyDescent="0.2">
      <c r="B69" s="1" cm="1">
        <f t="array" ref="B69">_xlfn.ANCHORARRAY('Results - B'!A34)</f>
        <v>31</v>
      </c>
      <c r="C69" t="str">
        <v>Alan Grant</v>
      </c>
      <c r="D69" s="1">
        <v>131</v>
      </c>
      <c r="F69" s="1" cm="1">
        <f t="array" ref="F69">_xlfn.ANCHORARRAY('Results - B'!M34)</f>
        <v>30</v>
      </c>
      <c r="G69" t="str">
        <v>Peter King</v>
      </c>
      <c r="H69" s="1">
        <v>36</v>
      </c>
      <c r="I69" s="4">
        <v>2.8680555555555556E-2</v>
      </c>
      <c r="J69" s="1">
        <v>5</v>
      </c>
      <c r="K69" s="1">
        <v>22</v>
      </c>
      <c r="L69" s="1">
        <v>27</v>
      </c>
    </row>
    <row r="70" spans="2:12" x14ac:dyDescent="0.2">
      <c r="B70" s="1" cm="1">
        <f t="array" ref="B70">_xlfn.ANCHORARRAY('Results - B'!A35)</f>
        <v>32</v>
      </c>
      <c r="C70" t="str">
        <v>Richard Harrison</v>
      </c>
      <c r="D70" s="1">
        <v>129</v>
      </c>
      <c r="F70" s="1" cm="1">
        <f t="array" ref="F70">_xlfn.ANCHORARRAY('Results - B'!M35)</f>
        <v>32</v>
      </c>
      <c r="G70" t="str">
        <v>Funking Baxter</v>
      </c>
      <c r="H70" s="1">
        <v>37</v>
      </c>
      <c r="I70" s="4">
        <v>3.2060185185185185E-2</v>
      </c>
      <c r="J70" s="1">
        <v>4</v>
      </c>
      <c r="K70" s="1">
        <v>22</v>
      </c>
      <c r="L70" s="1">
        <v>26</v>
      </c>
    </row>
    <row r="71" spans="2:12" x14ac:dyDescent="0.2">
      <c r="B71" s="1" cm="1">
        <f t="array" ref="B71">_xlfn.ANCHORARRAY('Results - B'!A36)</f>
        <v>33</v>
      </c>
      <c r="C71" t="str">
        <v>Jonny Vaux</v>
      </c>
      <c r="D71" s="1">
        <v>128</v>
      </c>
      <c r="F71" s="1" cm="1">
        <f t="array" ref="F71">_xlfn.ANCHORARRAY('Results - B'!M36)</f>
        <v>32</v>
      </c>
      <c r="G71" t="str">
        <v>Mark Stancombe</v>
      </c>
      <c r="H71" s="1">
        <v>31</v>
      </c>
      <c r="I71" s="4">
        <v>2.6053240740740741E-2</v>
      </c>
      <c r="J71" s="1">
        <v>10</v>
      </c>
      <c r="K71" s="1">
        <v>16</v>
      </c>
      <c r="L71" s="1">
        <v>26</v>
      </c>
    </row>
    <row r="72" spans="2:12" x14ac:dyDescent="0.2">
      <c r="B72" s="1" cm="1">
        <f t="array" ref="B72">_xlfn.ANCHORARRAY('Results - B'!A37)</f>
        <v>34</v>
      </c>
      <c r="C72" t="str">
        <v>Harvey Jackson</v>
      </c>
      <c r="D72" s="1">
        <v>127</v>
      </c>
      <c r="F72" s="1" cm="1">
        <f t="array" ref="F72">_xlfn.ANCHORARRAY('Results - B'!M37)</f>
        <v>32</v>
      </c>
      <c r="G72" t="str">
        <v>Richard Harrison</v>
      </c>
      <c r="H72" s="1">
        <v>23</v>
      </c>
      <c r="I72" s="4">
        <v>2.4270833333333332E-2</v>
      </c>
      <c r="J72" s="1">
        <v>18</v>
      </c>
      <c r="K72" s="1">
        <v>8</v>
      </c>
      <c r="L72" s="1">
        <v>26</v>
      </c>
    </row>
    <row r="73" spans="2:12" x14ac:dyDescent="0.2">
      <c r="B73" s="1" cm="1">
        <f t="array" ref="B73">_xlfn.ANCHORARRAY('Results - B'!A38)</f>
        <v>35</v>
      </c>
      <c r="C73" t="str">
        <v>Mark Stancombe</v>
      </c>
      <c r="D73" s="1">
        <v>119</v>
      </c>
      <c r="F73" s="1" cm="1">
        <f t="array" ref="F73">_xlfn.ANCHORARRAY('Results - B'!M38)</f>
        <v>35</v>
      </c>
      <c r="G73" t="str">
        <v>Chris Croft</v>
      </c>
      <c r="H73" s="1">
        <v>26</v>
      </c>
      <c r="I73" s="4">
        <v>2.5023148148148149E-2</v>
      </c>
      <c r="J73" s="1">
        <v>15</v>
      </c>
      <c r="K73" s="1">
        <v>8</v>
      </c>
      <c r="L73" s="1">
        <v>23</v>
      </c>
    </row>
    <row r="74" spans="2:12" x14ac:dyDescent="0.2">
      <c r="B74" s="1" cm="1">
        <f t="array" ref="B74">_xlfn.ANCHORARRAY('Results - B'!A39)</f>
        <v>36</v>
      </c>
      <c r="C74" t="str">
        <v>Chris Croft</v>
      </c>
      <c r="D74" s="1">
        <v>113</v>
      </c>
      <c r="F74" s="1" cm="1">
        <f t="array" ref="F74">_xlfn.ANCHORARRAY('Results - B'!M39)</f>
        <v>36</v>
      </c>
      <c r="G74" t="str">
        <v xml:space="preserve">Adam Currie </v>
      </c>
      <c r="H74" s="1">
        <v>20</v>
      </c>
      <c r="I74" s="4">
        <v>2.3368055555555555E-2</v>
      </c>
      <c r="J74" s="1">
        <v>21</v>
      </c>
      <c r="K74" s="1">
        <v>0</v>
      </c>
      <c r="L74" s="1">
        <v>21</v>
      </c>
    </row>
    <row r="75" spans="2:12" x14ac:dyDescent="0.2">
      <c r="B75" s="1" cm="1">
        <f t="array" ref="B75">_xlfn.ANCHORARRAY('Results - B'!A40)</f>
        <v>37</v>
      </c>
      <c r="C75" t="str">
        <v>Rob Cherry</v>
      </c>
      <c r="D75" s="1">
        <v>112</v>
      </c>
      <c r="F75" s="1" cm="1">
        <f t="array" ref="F75">_xlfn.ANCHORARRAY('Results - B'!M40)</f>
        <v>36</v>
      </c>
      <c r="G75" t="str">
        <v>Rob Cherry</v>
      </c>
      <c r="H75" s="1">
        <v>28</v>
      </c>
      <c r="I75" s="4">
        <v>2.5289351851851851E-2</v>
      </c>
      <c r="J75" s="1">
        <v>13</v>
      </c>
      <c r="K75" s="1">
        <v>8</v>
      </c>
      <c r="L75" s="1">
        <v>21</v>
      </c>
    </row>
    <row r="76" spans="2:12" x14ac:dyDescent="0.2">
      <c r="B76" s="1" cm="1">
        <f t="array" ref="B76">_xlfn.ANCHORARRAY('Results - B'!A41)</f>
        <v>38</v>
      </c>
      <c r="C76" t="str">
        <v xml:space="preserve">Adam Currie </v>
      </c>
      <c r="D76" s="1">
        <v>97</v>
      </c>
      <c r="F76" s="1" cm="1">
        <f t="array" ref="F76">_xlfn.ANCHORARRAY('Results - B'!M41)</f>
        <v>38</v>
      </c>
      <c r="G76" t="str">
        <v>Olivier Baillet</v>
      </c>
      <c r="H76" s="1">
        <v>38</v>
      </c>
      <c r="I76" s="4">
        <v>3.4143518518518517E-2</v>
      </c>
      <c r="J76" s="1">
        <v>3</v>
      </c>
      <c r="K76" s="1">
        <v>8</v>
      </c>
      <c r="L76" s="1">
        <v>11</v>
      </c>
    </row>
    <row r="77" spans="2:12" x14ac:dyDescent="0.2">
      <c r="B77" s="1" cm="1">
        <f t="array" ref="B77">_xlfn.ANCHORARRAY('Results - B'!A42)</f>
        <v>39</v>
      </c>
      <c r="C77" t="str">
        <v>Hans Stiles</v>
      </c>
      <c r="D77" s="1">
        <v>69</v>
      </c>
      <c r="F77" s="1" cm="1">
        <f t="array" ref="F77">_xlfn.ANCHORARRAY('Results - B'!M42)</f>
        <v>39</v>
      </c>
      <c r="G77" t="str">
        <v xml:space="preserve">Nick Dumonde </v>
      </c>
      <c r="H77" s="1">
        <v>39</v>
      </c>
      <c r="I77" s="4">
        <v>3.4143518518518517E-2</v>
      </c>
      <c r="J77" s="1">
        <v>2</v>
      </c>
      <c r="K77" s="1">
        <v>8</v>
      </c>
      <c r="L77" s="1">
        <v>10</v>
      </c>
    </row>
    <row r="78" spans="2:12" x14ac:dyDescent="0.2">
      <c r="C78" t="str">
        <v>Olivier Baillet</v>
      </c>
      <c r="D78" s="1">
        <v>62</v>
      </c>
      <c r="G78" t="str">
        <v>Hans Stiles</v>
      </c>
      <c r="H78" s="1">
        <v>40</v>
      </c>
      <c r="I78" s="4">
        <v>3.4143518518518517E-2</v>
      </c>
      <c r="J78" s="1">
        <v>1</v>
      </c>
      <c r="K78" s="1">
        <v>8</v>
      </c>
      <c r="L78" s="1">
        <v>9</v>
      </c>
    </row>
    <row r="79" spans="2:12" ht="20" thickBot="1" x14ac:dyDescent="0.3">
      <c r="B79" s="22" t="s">
        <v>97</v>
      </c>
      <c r="C79" s="22"/>
      <c r="D79" s="22"/>
      <c r="F79" s="22" t="s">
        <v>109</v>
      </c>
      <c r="G79" s="22"/>
      <c r="H79" s="22"/>
      <c r="I79" s="22"/>
      <c r="J79" s="22"/>
      <c r="K79" s="22"/>
      <c r="L79" s="22"/>
    </row>
    <row r="80" spans="2:12" x14ac:dyDescent="0.2">
      <c r="B80" s="3" t="s">
        <v>23</v>
      </c>
      <c r="C80" s="7" t="s">
        <v>24</v>
      </c>
      <c r="D80" s="3" t="s">
        <v>27</v>
      </c>
      <c r="E80" s="3"/>
      <c r="F80" s="3" t="s">
        <v>44</v>
      </c>
      <c r="G80" s="7" t="s">
        <v>24</v>
      </c>
      <c r="H80" s="3" t="s">
        <v>45</v>
      </c>
      <c r="I80" s="9" t="s">
        <v>25</v>
      </c>
      <c r="J80" s="3" t="s">
        <v>46</v>
      </c>
      <c r="K80" s="3" t="s">
        <v>33</v>
      </c>
      <c r="L80" s="3" t="s">
        <v>26</v>
      </c>
    </row>
    <row r="81" spans="2:12" ht="7" customHeight="1" x14ac:dyDescent="0.2"/>
    <row r="82" spans="2:12" x14ac:dyDescent="0.2">
      <c r="B82" s="1" cm="1">
        <f t="array" ref="B82">_xlfn.ANCHORARRAY('Results - W'!A4)</f>
        <v>1</v>
      </c>
      <c r="C82" t="str" cm="1">
        <f t="array" ref="C82:D88">_xlfn.ANCHORARRAY('Results - W'!B4)</f>
        <v>Alessandra Scaduto</v>
      </c>
      <c r="D82" s="1">
        <v>34</v>
      </c>
      <c r="F82" s="1" cm="1">
        <f t="array" ref="F82">_xlfn.ANCHORARRAY('Results - W'!M4)</f>
        <v>1</v>
      </c>
      <c r="G82" t="str" cm="1">
        <f t="array" ref="G82:L88">_xlfn.ANCHORARRAY('Results - W'!N4)</f>
        <v>Alessandra Scaduto</v>
      </c>
      <c r="H82" s="1">
        <v>4</v>
      </c>
      <c r="I82" s="4">
        <v>2.5046296296296296E-2</v>
      </c>
      <c r="J82" s="1">
        <v>3</v>
      </c>
      <c r="K82" s="1">
        <v>4</v>
      </c>
      <c r="L82" s="1">
        <v>7</v>
      </c>
    </row>
    <row r="83" spans="2:12" x14ac:dyDescent="0.2">
      <c r="B83" s="1" cm="1">
        <f t="array" ref="B83">_xlfn.ANCHORARRAY('Results - W'!A5)</f>
        <v>1</v>
      </c>
      <c r="C83" t="str">
        <v>Laura McMullen</v>
      </c>
      <c r="D83" s="1">
        <v>34</v>
      </c>
      <c r="F83" s="1" cm="1">
        <f t="array" ref="F83">_xlfn.ANCHORARRAY('Results - W'!M5)</f>
        <v>1</v>
      </c>
      <c r="G83" t="str">
        <v>Alex Wilson-Jones</v>
      </c>
      <c r="H83" s="1">
        <v>2</v>
      </c>
      <c r="I83" s="4">
        <v>2.2766203703703705E-2</v>
      </c>
      <c r="J83" s="1">
        <v>5</v>
      </c>
      <c r="K83" s="1">
        <v>2</v>
      </c>
      <c r="L83" s="1">
        <v>7</v>
      </c>
    </row>
    <row r="84" spans="2:12" x14ac:dyDescent="0.2">
      <c r="B84" s="1" cm="1">
        <f t="array" ref="B84">_xlfn.ANCHORARRAY('Results - W'!A6)</f>
        <v>3</v>
      </c>
      <c r="C84" t="str">
        <v>Alex Wilson-Jones</v>
      </c>
      <c r="D84" s="1">
        <v>33</v>
      </c>
      <c r="F84" s="1" cm="1">
        <f t="array" ref="F84">_xlfn.ANCHORARRAY('Results - W'!M6)</f>
        <v>1</v>
      </c>
      <c r="G84" t="str">
        <v>Laura McMullen</v>
      </c>
      <c r="H84" s="1">
        <v>1</v>
      </c>
      <c r="I84" s="4">
        <v>2.2708333333333334E-2</v>
      </c>
      <c r="J84" s="1">
        <v>6</v>
      </c>
      <c r="K84" s="1">
        <v>1</v>
      </c>
      <c r="L84" s="1">
        <v>7</v>
      </c>
    </row>
    <row r="85" spans="2:12" x14ac:dyDescent="0.2">
      <c r="B85" s="1" cm="1">
        <f t="array" ref="B85">_xlfn.ANCHORARRAY('Results - W'!A7)</f>
        <v>4</v>
      </c>
      <c r="C85" t="str">
        <v>Alex Joss</v>
      </c>
      <c r="D85" s="1">
        <v>32</v>
      </c>
      <c r="F85" s="1" cm="1">
        <f t="array" ref="F85">_xlfn.ANCHORARRAY('Results - W'!M7)</f>
        <v>4</v>
      </c>
      <c r="G85" t="str">
        <v>Alex Joss</v>
      </c>
      <c r="H85" s="1">
        <v>3</v>
      </c>
      <c r="I85" s="4">
        <v>2.329861111111111E-2</v>
      </c>
      <c r="J85" s="1">
        <v>4</v>
      </c>
      <c r="K85" s="1">
        <v>2</v>
      </c>
      <c r="L85" s="1">
        <v>6</v>
      </c>
    </row>
    <row r="86" spans="2:12" x14ac:dyDescent="0.2">
      <c r="B86" s="1" cm="1">
        <f t="array" ref="B86">_xlfn.ANCHORARRAY('Results - W'!A8)</f>
        <v>5</v>
      </c>
      <c r="C86" t="str">
        <v>Alexandra Chuchu</v>
      </c>
      <c r="D86" s="1">
        <v>29</v>
      </c>
      <c r="F86" s="1" cm="1">
        <f t="array" ref="F86">_xlfn.ANCHORARRAY('Results - W'!M8)</f>
        <v>4</v>
      </c>
      <c r="G86" t="str">
        <v>Alexandra Chuchu</v>
      </c>
      <c r="H86" s="1">
        <v>5</v>
      </c>
      <c r="I86" s="4">
        <v>2.6111111111111113E-2</v>
      </c>
      <c r="J86" s="1">
        <v>2</v>
      </c>
      <c r="K86" s="1">
        <v>4</v>
      </c>
      <c r="L86" s="1">
        <v>6</v>
      </c>
    </row>
    <row r="87" spans="2:12" x14ac:dyDescent="0.2">
      <c r="B87" s="1" cm="1">
        <f t="array" ref="B87">_xlfn.ANCHORARRAY('Results - W'!A9)</f>
        <v>6</v>
      </c>
      <c r="C87" t="str">
        <v>Phoebe Macwhinnie</v>
      </c>
      <c r="D87" s="1">
        <v>26</v>
      </c>
      <c r="F87" s="1" cm="1">
        <f t="array" ref="F87">_xlfn.ANCHORARRAY('Results - W'!M9)</f>
        <v>6</v>
      </c>
      <c r="G87" t="str">
        <v>Phoebe Macwhinnie</v>
      </c>
      <c r="H87" s="1">
        <v>6</v>
      </c>
      <c r="I87" s="4">
        <v>2.6168981481481481E-2</v>
      </c>
      <c r="J87" s="1">
        <v>1</v>
      </c>
      <c r="K87" s="1">
        <v>4</v>
      </c>
      <c r="L87" s="1">
        <v>5</v>
      </c>
    </row>
    <row r="88" spans="2:12" x14ac:dyDescent="0.2">
      <c r="B88" s="1" cm="1">
        <f t="array" ref="B88">_xlfn.ANCHORARRAY('Results - W'!A10)</f>
        <v>7</v>
      </c>
      <c r="C88" t="str">
        <v>Patricia Vilar</v>
      </c>
      <c r="D88" s="1">
        <v>21</v>
      </c>
      <c r="F88" s="1" cm="1">
        <f t="array" ref="F88">_xlfn.ANCHORARRAY('Results - W'!M10)</f>
        <v>7</v>
      </c>
      <c r="G88" t="str">
        <v>Patricia Vilar</v>
      </c>
      <c r="H88" s="1">
        <v>7</v>
      </c>
      <c r="I88" s="4">
        <v>2.6226851851851852E-2</v>
      </c>
      <c r="J88" s="1">
        <v>0</v>
      </c>
      <c r="K88" s="1">
        <v>4</v>
      </c>
      <c r="L88" s="1">
        <v>4</v>
      </c>
    </row>
    <row r="89" spans="2:12" x14ac:dyDescent="0.2">
      <c r="B89" s="1" t="str" cm="1">
        <f t="array" ref="B89">_xlfn.ANCHORARRAY('Results - W'!A11)</f>
        <v/>
      </c>
    </row>
  </sheetData>
  <mergeCells count="6">
    <mergeCell ref="B5:D5"/>
    <mergeCell ref="F5:L5"/>
    <mergeCell ref="B36:D36"/>
    <mergeCell ref="F36:L36"/>
    <mergeCell ref="B79:D79"/>
    <mergeCell ref="F79:L79"/>
  </mergeCells>
  <printOptions horizontalCentered="1" verticalCentered="1"/>
  <pageMargins left="0.5" right="0.5" top="0.75" bottom="0.75" header="0.3" footer="0.3"/>
  <pageSetup paperSize="9" scale="59" orientation="portrait" horizontalDpi="0" verticalDpi="0"/>
  <headerFooter>
    <oddFooter>&amp;R&amp;"Calibri,Regular"&amp;K000000&amp;D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AFCD-F603-0641-89D1-5FB16235D91F}">
  <sheetPr>
    <pageSetUpPr fitToPage="1"/>
  </sheetPr>
  <dimension ref="B1:T90"/>
  <sheetViews>
    <sheetView workbookViewId="0">
      <selection activeCell="N6" sqref="N6"/>
    </sheetView>
  </sheetViews>
  <sheetFormatPr baseColWidth="10" defaultRowHeight="15" x14ac:dyDescent="0.2"/>
  <cols>
    <col min="1" max="1" width="3.5" customWidth="1"/>
    <col min="2" max="2" width="9" style="1" customWidth="1"/>
    <col min="3" max="3" width="19.33203125" bestFit="1" customWidth="1"/>
    <col min="4" max="4" width="10.83203125" style="1"/>
    <col min="5" max="5" width="6.33203125" customWidth="1"/>
    <col min="6" max="6" width="7" customWidth="1"/>
    <col min="7" max="7" width="21.33203125" customWidth="1"/>
    <col min="8" max="8" width="5.6640625" style="1" customWidth="1"/>
    <col min="9" max="9" width="10.83203125" style="4"/>
    <col min="10" max="12" width="10" style="1" customWidth="1"/>
    <col min="13" max="13" width="3.83203125" customWidth="1"/>
    <col min="15" max="15" width="20.83203125" customWidth="1"/>
  </cols>
  <sheetData>
    <row r="1" spans="2:20" ht="21" x14ac:dyDescent="0.25">
      <c r="B1" s="11" t="s">
        <v>92</v>
      </c>
    </row>
    <row r="2" spans="2:20" ht="7" customHeight="1" x14ac:dyDescent="0.25">
      <c r="B2" s="11"/>
    </row>
    <row r="3" spans="2:20" ht="21" x14ac:dyDescent="0.25">
      <c r="B3" s="11" t="s">
        <v>113</v>
      </c>
    </row>
    <row r="4" spans="2:20" ht="11" customHeight="1" x14ac:dyDescent="0.2"/>
    <row r="5" spans="2:20" ht="20" thickBot="1" x14ac:dyDescent="0.3">
      <c r="B5" s="22" t="s">
        <v>88</v>
      </c>
      <c r="C5" s="22"/>
      <c r="D5" s="22"/>
      <c r="F5" s="22" t="s">
        <v>114</v>
      </c>
      <c r="G5" s="22"/>
      <c r="H5" s="22"/>
      <c r="I5" s="22"/>
      <c r="J5" s="22"/>
      <c r="K5" s="22"/>
      <c r="L5" s="22"/>
      <c r="N5" s="22" t="s">
        <v>115</v>
      </c>
      <c r="O5" s="22"/>
      <c r="P5" s="22"/>
      <c r="Q5" s="22"/>
      <c r="R5" s="22"/>
      <c r="S5" s="22"/>
      <c r="T5" s="22"/>
    </row>
    <row r="6" spans="2:20" x14ac:dyDescent="0.2">
      <c r="B6" s="3" t="s">
        <v>23</v>
      </c>
      <c r="C6" s="7" t="s">
        <v>24</v>
      </c>
      <c r="D6" s="3" t="s">
        <v>27</v>
      </c>
      <c r="E6" s="3"/>
      <c r="F6" s="3" t="s">
        <v>44</v>
      </c>
      <c r="G6" s="7" t="s">
        <v>24</v>
      </c>
      <c r="H6" s="3" t="s">
        <v>45</v>
      </c>
      <c r="I6" s="9" t="s">
        <v>25</v>
      </c>
      <c r="J6" s="3" t="s">
        <v>46</v>
      </c>
      <c r="K6" s="3" t="s">
        <v>33</v>
      </c>
      <c r="L6" s="3" t="s">
        <v>26</v>
      </c>
      <c r="N6" s="3" t="s">
        <v>44</v>
      </c>
      <c r="O6" s="7" t="s">
        <v>24</v>
      </c>
      <c r="P6" s="3" t="s">
        <v>45</v>
      </c>
      <c r="Q6" s="9" t="s">
        <v>25</v>
      </c>
      <c r="R6" s="3" t="s">
        <v>46</v>
      </c>
      <c r="S6" s="3" t="s">
        <v>33</v>
      </c>
      <c r="T6" s="3" t="s">
        <v>26</v>
      </c>
    </row>
    <row r="7" spans="2:20" ht="7" customHeight="1" x14ac:dyDescent="0.2">
      <c r="B7" s="3"/>
      <c r="C7" s="3"/>
      <c r="D7" s="3"/>
      <c r="E7" s="3"/>
      <c r="F7" s="3"/>
      <c r="G7" s="3"/>
      <c r="H7" s="3"/>
      <c r="I7" s="9"/>
      <c r="J7" s="3"/>
      <c r="K7" s="3"/>
      <c r="L7" s="3"/>
      <c r="N7" s="3"/>
      <c r="O7" s="3"/>
      <c r="P7" s="3"/>
      <c r="Q7" s="9"/>
      <c r="R7" s="3"/>
      <c r="S7" s="3"/>
      <c r="T7" s="3"/>
    </row>
    <row r="8" spans="2:20" x14ac:dyDescent="0.2">
      <c r="B8" s="1" cm="1">
        <f t="array" ref="B8">_xlfn.ANCHORARRAY('Results - A'!A4)</f>
        <v>1</v>
      </c>
      <c r="C8" t="str" cm="1">
        <f t="array" ref="C8:D34">_xlfn.ANCHORARRAY('Results - A'!B4)</f>
        <v>Henrik Persson</v>
      </c>
      <c r="D8" s="1">
        <v>150</v>
      </c>
      <c r="F8" s="1" cm="1">
        <f t="array" ref="F8">_xlfn.ANCHORARRAY('Results - A'!U4)</f>
        <v>1</v>
      </c>
      <c r="G8" t="str" cm="1">
        <f t="array" ref="G8:L34">_xlfn.ANCHORARRAY('Results - A'!V4)</f>
        <v>Henrik Persson</v>
      </c>
      <c r="H8" s="1">
        <v>5</v>
      </c>
      <c r="I8" s="4">
        <v>3.0636574074074073E-2</v>
      </c>
      <c r="J8" s="1">
        <v>26</v>
      </c>
      <c r="K8" s="1">
        <v>6</v>
      </c>
      <c r="L8" s="1">
        <v>30</v>
      </c>
      <c r="N8" s="1" cm="1">
        <f t="array" ref="N8">_xlfn.ANCHORARRAY('Results - A'!AC4)</f>
        <v>1</v>
      </c>
      <c r="O8" t="str" cm="1">
        <f t="array" ref="O8:T34">_xlfn.ANCHORARRAY('Results - A'!AD4)</f>
        <v>Alex Robertson</v>
      </c>
      <c r="P8" s="1">
        <v>10</v>
      </c>
      <c r="Q8" s="4">
        <v>2.1597222222222223E-2</v>
      </c>
      <c r="R8" s="1">
        <v>21</v>
      </c>
      <c r="S8" s="1">
        <v>12</v>
      </c>
      <c r="T8" s="1">
        <v>30</v>
      </c>
    </row>
    <row r="9" spans="2:20" x14ac:dyDescent="0.2">
      <c r="B9" s="1" cm="1">
        <f t="array" ref="B9">_xlfn.ANCHORARRAY('Results - A'!A5)</f>
        <v>1</v>
      </c>
      <c r="C9" t="str">
        <v>Matt de Freitas</v>
      </c>
      <c r="D9" s="1">
        <v>150</v>
      </c>
      <c r="F9" s="1" cm="1">
        <f t="array" ref="F9">_xlfn.ANCHORARRAY('Results - A'!U5)</f>
        <v>1</v>
      </c>
      <c r="G9" t="str">
        <v>Judah Rand</v>
      </c>
      <c r="H9" s="1">
        <v>1</v>
      </c>
      <c r="I9" s="4">
        <v>2.960648148148148E-2</v>
      </c>
      <c r="J9" s="1">
        <v>30</v>
      </c>
      <c r="K9" s="1">
        <v>0</v>
      </c>
      <c r="L9" s="1">
        <v>30</v>
      </c>
      <c r="N9" s="1" cm="1">
        <f t="array" ref="N9">_xlfn.ANCHORARRAY('Results - A'!AC5)</f>
        <v>1</v>
      </c>
      <c r="O9" t="str">
        <v>Henrik Persson</v>
      </c>
      <c r="P9" s="1">
        <v>6</v>
      </c>
      <c r="Q9" s="4">
        <v>2.1284722222222222E-2</v>
      </c>
      <c r="R9" s="1">
        <v>25</v>
      </c>
      <c r="S9" s="1">
        <v>6</v>
      </c>
      <c r="T9" s="1">
        <v>30</v>
      </c>
    </row>
    <row r="10" spans="2:20" x14ac:dyDescent="0.2">
      <c r="B10" s="1" cm="1">
        <f t="array" ref="B10">_xlfn.ANCHORARRAY('Results - A'!A6)</f>
        <v>3</v>
      </c>
      <c r="C10" t="str">
        <v>Judah Rand</v>
      </c>
      <c r="D10" s="1">
        <v>147</v>
      </c>
      <c r="F10" s="1" cm="1">
        <f t="array" ref="F10">_xlfn.ANCHORARRAY('Results - A'!U6)</f>
        <v>1</v>
      </c>
      <c r="G10" t="str">
        <v>Matt de Freitas</v>
      </c>
      <c r="H10" s="1">
        <v>6</v>
      </c>
      <c r="I10" s="4">
        <v>3.1122685185185184E-2</v>
      </c>
      <c r="J10" s="1">
        <v>25</v>
      </c>
      <c r="K10" s="1">
        <v>6</v>
      </c>
      <c r="L10" s="1">
        <v>30</v>
      </c>
      <c r="N10" s="1" cm="1">
        <f t="array" ref="N10">_xlfn.ANCHORARRAY('Results - A'!AC6)</f>
        <v>1</v>
      </c>
      <c r="O10" t="str">
        <v>Judah Rand</v>
      </c>
      <c r="P10" s="1">
        <v>1</v>
      </c>
      <c r="Q10" s="4">
        <v>2.0729166666666667E-2</v>
      </c>
      <c r="R10" s="1">
        <v>30</v>
      </c>
      <c r="S10" s="1">
        <v>0</v>
      </c>
      <c r="T10" s="1">
        <v>30</v>
      </c>
    </row>
    <row r="11" spans="2:20" x14ac:dyDescent="0.2">
      <c r="B11" s="1" cm="1">
        <f t="array" ref="B11">_xlfn.ANCHORARRAY('Results - A'!A7)</f>
        <v>4</v>
      </c>
      <c r="C11" t="str">
        <v>Tom Herbert</v>
      </c>
      <c r="D11" s="1">
        <v>143</v>
      </c>
      <c r="F11" s="1" cm="1">
        <f t="array" ref="F11">_xlfn.ANCHORARRAY('Results - A'!U7)</f>
        <v>1</v>
      </c>
      <c r="G11" t="str">
        <v>Neal Beauchamp</v>
      </c>
      <c r="H11" s="1">
        <v>7</v>
      </c>
      <c r="I11" s="4">
        <v>3.1203703703703702E-2</v>
      </c>
      <c r="J11" s="1">
        <v>24</v>
      </c>
      <c r="K11" s="1">
        <v>6</v>
      </c>
      <c r="L11" s="1">
        <v>30</v>
      </c>
      <c r="N11" s="1" cm="1">
        <f t="array" ref="N11">_xlfn.ANCHORARRAY('Results - A'!AC7)</f>
        <v>1</v>
      </c>
      <c r="O11" t="str">
        <v>Matt de Freitas</v>
      </c>
      <c r="P11" s="1">
        <v>2</v>
      </c>
      <c r="Q11" s="4">
        <v>2.0798611111111111E-2</v>
      </c>
      <c r="R11" s="1">
        <v>29</v>
      </c>
      <c r="S11" s="1">
        <v>6</v>
      </c>
      <c r="T11" s="1">
        <v>30</v>
      </c>
    </row>
    <row r="12" spans="2:20" x14ac:dyDescent="0.2">
      <c r="B12" s="1" cm="1">
        <f t="array" ref="B12">_xlfn.ANCHORARRAY('Results - A'!A8)</f>
        <v>5</v>
      </c>
      <c r="C12" t="str">
        <v>Neil Grunshaw</v>
      </c>
      <c r="D12" s="1">
        <v>141</v>
      </c>
      <c r="F12" s="1" cm="1">
        <f t="array" ref="F12">_xlfn.ANCHORARRAY('Results - A'!U8)</f>
        <v>5</v>
      </c>
      <c r="G12" t="str">
        <v>Chris Jenkins</v>
      </c>
      <c r="H12" s="1">
        <v>8</v>
      </c>
      <c r="I12" s="4">
        <v>3.1238425925925926E-2</v>
      </c>
      <c r="J12" s="1">
        <v>23</v>
      </c>
      <c r="K12" s="1">
        <v>6</v>
      </c>
      <c r="L12" s="1">
        <v>29</v>
      </c>
      <c r="N12" s="1" cm="1">
        <f t="array" ref="N12">_xlfn.ANCHORARRAY('Results - A'!AC8)</f>
        <v>5</v>
      </c>
      <c r="O12" t="str">
        <v>Neil Grunshaw</v>
      </c>
      <c r="P12" s="1">
        <v>4</v>
      </c>
      <c r="Q12" s="4">
        <v>2.0914351851851851E-2</v>
      </c>
      <c r="R12" s="1">
        <v>27</v>
      </c>
      <c r="S12" s="1">
        <v>6</v>
      </c>
      <c r="T12" s="1">
        <v>30</v>
      </c>
    </row>
    <row r="13" spans="2:20" x14ac:dyDescent="0.2">
      <c r="B13" s="1" cm="1">
        <f t="array" ref="B13">_xlfn.ANCHORARRAY('Results - A'!A9)</f>
        <v>5</v>
      </c>
      <c r="C13" t="str">
        <v>Tom Kennett</v>
      </c>
      <c r="D13" s="1">
        <v>141</v>
      </c>
      <c r="F13" s="1" cm="1">
        <f t="array" ref="F13">_xlfn.ANCHORARRAY('Results - A'!U9)</f>
        <v>5</v>
      </c>
      <c r="G13" t="str">
        <v>David Wong</v>
      </c>
      <c r="H13" s="1">
        <v>14</v>
      </c>
      <c r="I13" s="4">
        <v>3.2569444444444443E-2</v>
      </c>
      <c r="J13" s="1">
        <v>17</v>
      </c>
      <c r="K13" s="1">
        <v>12</v>
      </c>
      <c r="L13" s="1">
        <v>29</v>
      </c>
      <c r="N13" s="1" cm="1">
        <f t="array" ref="N13">_xlfn.ANCHORARRAY('Results - A'!AC9)</f>
        <v>5</v>
      </c>
      <c r="O13" t="str">
        <v>Tom Herbert</v>
      </c>
      <c r="P13" s="1">
        <v>7</v>
      </c>
      <c r="Q13" s="4">
        <v>2.1435185185185186E-2</v>
      </c>
      <c r="R13" s="1">
        <v>24</v>
      </c>
      <c r="S13" s="1">
        <v>6</v>
      </c>
      <c r="T13" s="1">
        <v>30</v>
      </c>
    </row>
    <row r="14" spans="2:20" x14ac:dyDescent="0.2">
      <c r="B14" s="1" cm="1">
        <f t="array" ref="B14">_xlfn.ANCHORARRAY('Results - A'!A10)</f>
        <v>7</v>
      </c>
      <c r="C14" t="str">
        <v>David Wong</v>
      </c>
      <c r="D14" s="1">
        <v>139</v>
      </c>
      <c r="F14" s="1" cm="1">
        <f t="array" ref="F14">_xlfn.ANCHORARRAY('Results - A'!U10)</f>
        <v>5</v>
      </c>
      <c r="G14" t="str">
        <v>Seb Ashton</v>
      </c>
      <c r="H14" s="1">
        <v>2</v>
      </c>
      <c r="I14" s="4">
        <v>2.960648148148148E-2</v>
      </c>
      <c r="J14" s="1">
        <v>29</v>
      </c>
      <c r="K14" s="1">
        <v>0</v>
      </c>
      <c r="L14" s="1">
        <v>29</v>
      </c>
      <c r="N14" s="1" cm="1">
        <f t="array" ref="N14">_xlfn.ANCHORARRAY('Results - A'!AC10)</f>
        <v>5</v>
      </c>
      <c r="O14" t="str">
        <v>James Bowden</v>
      </c>
      <c r="P14" s="1">
        <v>14</v>
      </c>
      <c r="Q14" s="4">
        <v>2.1898148148148149E-2</v>
      </c>
      <c r="R14" s="1">
        <v>17</v>
      </c>
      <c r="S14" s="1">
        <v>12</v>
      </c>
      <c r="T14" s="1">
        <v>29</v>
      </c>
    </row>
    <row r="15" spans="2:20" x14ac:dyDescent="0.2">
      <c r="B15" s="1" cm="1">
        <f t="array" ref="B15">_xlfn.ANCHORARRAY('Results - A'!A11)</f>
        <v>8</v>
      </c>
      <c r="C15" t="str">
        <v>Chris Jenkins</v>
      </c>
      <c r="D15" s="1">
        <v>138</v>
      </c>
      <c r="F15" s="1" cm="1">
        <f t="array" ref="F15">_xlfn.ANCHORARRAY('Results - A'!U11)</f>
        <v>8</v>
      </c>
      <c r="G15" t="str">
        <v>Gordon Reid</v>
      </c>
      <c r="H15" s="1">
        <v>15</v>
      </c>
      <c r="I15" s="4">
        <v>3.2847222222222222E-2</v>
      </c>
      <c r="J15" s="1">
        <v>16</v>
      </c>
      <c r="K15" s="1">
        <v>12</v>
      </c>
      <c r="L15" s="1">
        <v>28</v>
      </c>
      <c r="N15" s="1" cm="1">
        <f t="array" ref="N15">_xlfn.ANCHORARRAY('Results - A'!AC11)</f>
        <v>8</v>
      </c>
      <c r="O15" t="str">
        <v>Neal Beauchamp</v>
      </c>
      <c r="P15" s="1">
        <v>8</v>
      </c>
      <c r="Q15" s="4">
        <v>3.5358796296296298E-2</v>
      </c>
      <c r="R15" s="1">
        <v>23</v>
      </c>
      <c r="S15" s="1">
        <v>6</v>
      </c>
      <c r="T15" s="1">
        <v>29</v>
      </c>
    </row>
    <row r="16" spans="2:20" x14ac:dyDescent="0.2">
      <c r="B16" s="1" cm="1">
        <f t="array" ref="B16">_xlfn.ANCHORARRAY('Results - A'!A12)</f>
        <v>8</v>
      </c>
      <c r="C16" t="str">
        <v>Neal Beauchamp</v>
      </c>
      <c r="D16" s="1">
        <v>138</v>
      </c>
      <c r="F16" s="1" cm="1">
        <f t="array" ref="F16">_xlfn.ANCHORARRAY('Results - A'!U12)</f>
        <v>8</v>
      </c>
      <c r="G16" t="str">
        <v>Raif Oz</v>
      </c>
      <c r="H16" s="1">
        <v>3</v>
      </c>
      <c r="I16" s="4">
        <v>3.0173611111111109E-2</v>
      </c>
      <c r="J16" s="1">
        <v>28</v>
      </c>
      <c r="K16" s="1">
        <v>0</v>
      </c>
      <c r="L16" s="1">
        <v>28</v>
      </c>
      <c r="N16" s="1" cm="1">
        <f t="array" ref="N16">_xlfn.ANCHORARRAY('Results - A'!AC12)</f>
        <v>8</v>
      </c>
      <c r="O16" t="str">
        <v>Alex Tate</v>
      </c>
      <c r="P16" s="1">
        <v>15</v>
      </c>
      <c r="Q16" s="4">
        <v>2.2048611111111113E-2</v>
      </c>
      <c r="R16" s="1">
        <v>16</v>
      </c>
      <c r="S16" s="1">
        <v>12</v>
      </c>
      <c r="T16" s="1">
        <v>28</v>
      </c>
    </row>
    <row r="17" spans="2:20" x14ac:dyDescent="0.2">
      <c r="B17" s="1" cm="1">
        <f t="array" ref="B17">_xlfn.ANCHORARRAY('Results - A'!A13)</f>
        <v>8</v>
      </c>
      <c r="C17" t="str">
        <v>Seb Ashton</v>
      </c>
      <c r="D17" s="1">
        <v>138</v>
      </c>
      <c r="F17" s="1" cm="1">
        <f t="array" ref="F17">_xlfn.ANCHORARRAY('Results - A'!U13)</f>
        <v>8</v>
      </c>
      <c r="G17" t="str">
        <v>Tom Herbert</v>
      </c>
      <c r="H17" s="1">
        <v>9</v>
      </c>
      <c r="I17" s="4">
        <v>3.1863425925925927E-2</v>
      </c>
      <c r="J17" s="1">
        <v>22</v>
      </c>
      <c r="K17" s="1">
        <v>6</v>
      </c>
      <c r="L17" s="1">
        <v>28</v>
      </c>
      <c r="N17" s="1" cm="1">
        <f t="array" ref="N17">_xlfn.ANCHORARRAY('Results - A'!AC13)</f>
        <v>8</v>
      </c>
      <c r="O17" t="str">
        <v>Denis Whelan</v>
      </c>
      <c r="P17" s="1">
        <v>9</v>
      </c>
      <c r="Q17" s="4">
        <v>2.1597222222222223E-2</v>
      </c>
      <c r="R17" s="1">
        <v>22</v>
      </c>
      <c r="S17" s="1">
        <v>6</v>
      </c>
      <c r="T17" s="1">
        <v>28</v>
      </c>
    </row>
    <row r="18" spans="2:20" x14ac:dyDescent="0.2">
      <c r="B18" s="1" cm="1">
        <f t="array" ref="B18">_xlfn.ANCHORARRAY('Results - A'!A14)</f>
        <v>11</v>
      </c>
      <c r="C18" t="str">
        <v>James Bowden</v>
      </c>
      <c r="D18" s="1">
        <v>134</v>
      </c>
      <c r="F18" s="1" cm="1">
        <f t="array" ref="F18">_xlfn.ANCHORARRAY('Results - A'!U14)</f>
        <v>11</v>
      </c>
      <c r="G18" t="str">
        <v>Tom Kennett</v>
      </c>
      <c r="H18" s="1">
        <v>4</v>
      </c>
      <c r="I18" s="4">
        <v>3.037037037037037E-2</v>
      </c>
      <c r="J18" s="1">
        <v>27</v>
      </c>
      <c r="K18" s="1">
        <v>0</v>
      </c>
      <c r="L18" s="1">
        <v>27</v>
      </c>
      <c r="N18" s="1" cm="1">
        <f t="array" ref="N18">_xlfn.ANCHORARRAY('Results - A'!AC14)</f>
        <v>11</v>
      </c>
      <c r="O18" t="str">
        <v>Tom Kennett</v>
      </c>
      <c r="P18" s="1">
        <v>3</v>
      </c>
      <c r="Q18" s="4">
        <v>2.0821759259259259E-2</v>
      </c>
      <c r="R18" s="1">
        <v>28</v>
      </c>
      <c r="S18" s="1">
        <v>0</v>
      </c>
      <c r="T18" s="1">
        <v>28</v>
      </c>
    </row>
    <row r="19" spans="2:20" x14ac:dyDescent="0.2">
      <c r="B19" s="1" cm="1">
        <f t="array" ref="B19">_xlfn.ANCHORARRAY('Results - A'!A15)</f>
        <v>12</v>
      </c>
      <c r="C19" t="str">
        <v>Raif Oz</v>
      </c>
      <c r="D19" s="1">
        <v>129</v>
      </c>
      <c r="F19" s="1" cm="1">
        <f t="array" ref="F19">_xlfn.ANCHORARRAY('Results - A'!U15)</f>
        <v>12</v>
      </c>
      <c r="G19" t="str">
        <v>Eamon Mason</v>
      </c>
      <c r="H19" s="1">
        <v>17</v>
      </c>
      <c r="I19" s="4">
        <v>3.290509259259259E-2</v>
      </c>
      <c r="J19" s="1">
        <v>14</v>
      </c>
      <c r="K19" s="1">
        <v>12</v>
      </c>
      <c r="L19" s="1">
        <v>26</v>
      </c>
      <c r="N19" s="1" cm="1">
        <f t="array" ref="N19">_xlfn.ANCHORARRAY('Results - A'!AC15)</f>
        <v>12</v>
      </c>
      <c r="O19" t="str">
        <v>David Wong</v>
      </c>
      <c r="P19" s="1">
        <v>17</v>
      </c>
      <c r="Q19" s="4">
        <v>2.2407407407407407E-2</v>
      </c>
      <c r="R19" s="1">
        <v>14</v>
      </c>
      <c r="S19" s="1">
        <v>12</v>
      </c>
      <c r="T19" s="1">
        <v>26</v>
      </c>
    </row>
    <row r="20" spans="2:20" x14ac:dyDescent="0.2">
      <c r="B20" s="1" cm="1">
        <f t="array" ref="B20">_xlfn.ANCHORARRAY('Results - A'!A16)</f>
        <v>13</v>
      </c>
      <c r="C20" t="str">
        <v>Alex Robertson</v>
      </c>
      <c r="D20" s="1">
        <v>128</v>
      </c>
      <c r="F20" s="1" cm="1">
        <f t="array" ref="F20">_xlfn.ANCHORARRAY('Results - A'!U16)</f>
        <v>12</v>
      </c>
      <c r="G20" t="str">
        <v>Jonny Bodey</v>
      </c>
      <c r="H20" s="1">
        <v>11</v>
      </c>
      <c r="I20" s="4">
        <v>3.2094907407407405E-2</v>
      </c>
      <c r="J20" s="1">
        <v>20</v>
      </c>
      <c r="K20" s="1">
        <v>6</v>
      </c>
      <c r="L20" s="1">
        <v>26</v>
      </c>
      <c r="N20" s="1" cm="1">
        <f t="array" ref="N20">_xlfn.ANCHORARRAY('Results - A'!AC16)</f>
        <v>12</v>
      </c>
      <c r="O20" t="str">
        <v>Seb Ashton</v>
      </c>
      <c r="P20" s="1">
        <v>5</v>
      </c>
      <c r="Q20" s="4">
        <v>2.1250000000000002E-2</v>
      </c>
      <c r="R20" s="1">
        <v>26</v>
      </c>
      <c r="S20" s="1">
        <v>0</v>
      </c>
      <c r="T20" s="1">
        <v>26</v>
      </c>
    </row>
    <row r="21" spans="2:20" x14ac:dyDescent="0.2">
      <c r="B21" s="1" cm="1">
        <f t="array" ref="B21">_xlfn.ANCHORARRAY('Results - A'!A17)</f>
        <v>13</v>
      </c>
      <c r="C21" t="str">
        <v>Denis Whelan</v>
      </c>
      <c r="D21" s="1">
        <v>128</v>
      </c>
      <c r="F21" s="1" cm="1">
        <f t="array" ref="F21">_xlfn.ANCHORARRAY('Results - A'!U17)</f>
        <v>14</v>
      </c>
      <c r="G21" t="str">
        <v>Denis Whelan</v>
      </c>
      <c r="H21" s="1">
        <v>12</v>
      </c>
      <c r="I21" s="4">
        <v>3.2106481481481479E-2</v>
      </c>
      <c r="J21" s="1">
        <v>19</v>
      </c>
      <c r="K21" s="1">
        <v>6</v>
      </c>
      <c r="L21" s="1">
        <v>25</v>
      </c>
      <c r="N21" s="1" cm="1">
        <f t="array" ref="N21">_xlfn.ANCHORARRAY('Results - A'!AC17)</f>
        <v>14</v>
      </c>
      <c r="O21" t="str">
        <v>Bill McClatchie</v>
      </c>
      <c r="P21" s="1">
        <v>18</v>
      </c>
      <c r="Q21" s="4">
        <v>2.2465277777777778E-2</v>
      </c>
      <c r="R21" s="1">
        <v>13</v>
      </c>
      <c r="S21" s="1">
        <v>12</v>
      </c>
      <c r="T21" s="1">
        <v>25</v>
      </c>
    </row>
    <row r="22" spans="2:20" x14ac:dyDescent="0.2">
      <c r="B22" s="1" cm="1">
        <f t="array" ref="B22">_xlfn.ANCHORARRAY('Results - A'!A18)</f>
        <v>15</v>
      </c>
      <c r="C22" t="str">
        <v>Eamon Mason</v>
      </c>
      <c r="D22" s="1">
        <v>125</v>
      </c>
      <c r="F22" s="1" cm="1">
        <f t="array" ref="F22">_xlfn.ANCHORARRAY('Results - A'!U18)</f>
        <v>14</v>
      </c>
      <c r="G22" t="str">
        <v>James Bowden</v>
      </c>
      <c r="H22" s="1">
        <v>18</v>
      </c>
      <c r="I22" s="4">
        <v>3.2916666666666664E-2</v>
      </c>
      <c r="J22" s="1">
        <v>13</v>
      </c>
      <c r="K22" s="1">
        <v>12</v>
      </c>
      <c r="L22" s="1">
        <v>25</v>
      </c>
      <c r="N22" s="1" cm="1">
        <f t="array" ref="N22">_xlfn.ANCHORARRAY('Results - A'!AC18)</f>
        <v>14</v>
      </c>
      <c r="O22" t="str">
        <v>Chris Jenkins</v>
      </c>
      <c r="P22" s="1">
        <v>12</v>
      </c>
      <c r="Q22" s="4">
        <v>2.1759259259259259E-2</v>
      </c>
      <c r="R22" s="1">
        <v>19</v>
      </c>
      <c r="S22" s="1">
        <v>6</v>
      </c>
      <c r="T22" s="1">
        <v>25</v>
      </c>
    </row>
    <row r="23" spans="2:20" x14ac:dyDescent="0.2">
      <c r="B23" s="1" cm="1">
        <f t="array" ref="B23">_xlfn.ANCHORARRAY('Results - A'!A19)</f>
        <v>16</v>
      </c>
      <c r="C23" t="str">
        <v>Alex Tate</v>
      </c>
      <c r="D23" s="1">
        <v>122</v>
      </c>
      <c r="F23" s="1" cm="1">
        <f t="array" ref="F23">_xlfn.ANCHORARRAY('Results - A'!U19)</f>
        <v>16</v>
      </c>
      <c r="G23" t="str">
        <v>Alex Robertson</v>
      </c>
      <c r="H23" s="1">
        <v>19</v>
      </c>
      <c r="I23" s="4">
        <v>3.3101851851851855E-2</v>
      </c>
      <c r="J23" s="1">
        <v>12</v>
      </c>
      <c r="K23" s="1">
        <v>12</v>
      </c>
      <c r="L23" s="1">
        <v>24</v>
      </c>
      <c r="N23" s="1" cm="1">
        <f t="array" ref="N23">_xlfn.ANCHORARRAY('Results - A'!AC19)</f>
        <v>16</v>
      </c>
      <c r="O23" t="str">
        <v>Richard Halls</v>
      </c>
      <c r="P23" s="1">
        <v>20</v>
      </c>
      <c r="Q23" s="4">
        <v>2.252314814814815E-2</v>
      </c>
      <c r="R23" s="1">
        <v>11</v>
      </c>
      <c r="S23" s="1">
        <v>12</v>
      </c>
      <c r="T23" s="1">
        <v>23</v>
      </c>
    </row>
    <row r="24" spans="2:20" x14ac:dyDescent="0.2">
      <c r="B24" s="1" cm="1">
        <f t="array" ref="B24">_xlfn.ANCHORARRAY('Results - A'!A20)</f>
        <v>17</v>
      </c>
      <c r="C24" t="str">
        <v>Bill McClatchie</v>
      </c>
      <c r="D24" s="1">
        <v>121</v>
      </c>
      <c r="F24" s="1" cm="1">
        <f t="array" ref="F24">_xlfn.ANCHORARRAY('Results - A'!U20)</f>
        <v>16</v>
      </c>
      <c r="G24" t="str">
        <v>Neil Grunshaw</v>
      </c>
      <c r="H24" s="1">
        <v>13</v>
      </c>
      <c r="I24" s="4">
        <v>3.2349537037037038E-2</v>
      </c>
      <c r="J24" s="1">
        <v>18</v>
      </c>
      <c r="K24" s="1">
        <v>6</v>
      </c>
      <c r="L24" s="1">
        <v>24</v>
      </c>
      <c r="N24" s="1" cm="1">
        <f t="array" ref="N24">_xlfn.ANCHORARRAY('Results - A'!AC20)</f>
        <v>16</v>
      </c>
      <c r="O24" t="str">
        <v>James Armitage-Hobbs</v>
      </c>
      <c r="P24" s="1">
        <v>21</v>
      </c>
      <c r="Q24" s="4">
        <v>2.2604166666666668E-2</v>
      </c>
      <c r="R24" s="1">
        <v>10</v>
      </c>
      <c r="S24" s="1">
        <v>12</v>
      </c>
      <c r="T24" s="1">
        <v>22</v>
      </c>
    </row>
    <row r="25" spans="2:20" x14ac:dyDescent="0.2">
      <c r="B25" s="1" cm="1">
        <f t="array" ref="B25">_xlfn.ANCHORARRAY('Results - A'!A21)</f>
        <v>18</v>
      </c>
      <c r="C25" t="str">
        <v>Jonny Bodey</v>
      </c>
      <c r="D25" s="1">
        <v>120</v>
      </c>
      <c r="F25" s="1" cm="1">
        <f t="array" ref="F25">_xlfn.ANCHORARRAY('Results - A'!U21)</f>
        <v>18</v>
      </c>
      <c r="G25" t="str">
        <v>James Armitage-Hobbs</v>
      </c>
      <c r="H25" s="1">
        <v>20</v>
      </c>
      <c r="I25" s="4">
        <v>3.3125000000000002E-2</v>
      </c>
      <c r="J25" s="1">
        <v>11</v>
      </c>
      <c r="K25" s="1">
        <v>12</v>
      </c>
      <c r="L25" s="1">
        <v>23</v>
      </c>
      <c r="N25" s="1" cm="1">
        <f t="array" ref="N25">_xlfn.ANCHORARRAY('Results - A'!AC21)</f>
        <v>18</v>
      </c>
      <c r="O25" t="str">
        <v>Gordon Reid</v>
      </c>
      <c r="P25" s="1">
        <v>22</v>
      </c>
      <c r="Q25" s="4">
        <v>2.2824074074074073E-2</v>
      </c>
      <c r="R25" s="1">
        <v>9</v>
      </c>
      <c r="S25" s="1">
        <v>12</v>
      </c>
      <c r="T25" s="1">
        <v>21</v>
      </c>
    </row>
    <row r="26" spans="2:20" x14ac:dyDescent="0.2">
      <c r="B26" s="1" cm="1">
        <f t="array" ref="B26">_xlfn.ANCHORARRAY('Results - A'!A22)</f>
        <v>19</v>
      </c>
      <c r="C26" t="str">
        <v>Gordon Reid</v>
      </c>
      <c r="D26" s="1">
        <v>118</v>
      </c>
      <c r="F26" s="1" cm="1">
        <f t="array" ref="F26">_xlfn.ANCHORARRAY('Results - A'!U22)</f>
        <v>19</v>
      </c>
      <c r="G26" t="str">
        <v>Bill McClatchie</v>
      </c>
      <c r="H26" s="1">
        <v>21</v>
      </c>
      <c r="I26" s="4">
        <v>3.4097222222222223E-2</v>
      </c>
      <c r="J26" s="1">
        <v>10</v>
      </c>
      <c r="K26" s="1">
        <v>12</v>
      </c>
      <c r="L26" s="1">
        <v>22</v>
      </c>
      <c r="N26" s="1" cm="1">
        <f t="array" ref="N26">_xlfn.ANCHORARRAY('Results - A'!AC22)</f>
        <v>19</v>
      </c>
      <c r="O26" t="str">
        <v>Tobi Rosenkranz</v>
      </c>
      <c r="P26" s="1">
        <v>16</v>
      </c>
      <c r="Q26" s="4">
        <v>2.2129629629629631E-2</v>
      </c>
      <c r="R26" s="1">
        <v>15</v>
      </c>
      <c r="S26" s="1">
        <v>6</v>
      </c>
      <c r="T26" s="1">
        <v>21</v>
      </c>
    </row>
    <row r="27" spans="2:20" x14ac:dyDescent="0.2">
      <c r="B27" s="1" cm="1">
        <f t="array" ref="B27">_xlfn.ANCHORARRAY('Results - A'!A23)</f>
        <v>20</v>
      </c>
      <c r="C27" t="str">
        <v>James Armitage-Hobbs</v>
      </c>
      <c r="D27" s="1">
        <v>113</v>
      </c>
      <c r="F27" s="1" cm="1">
        <f t="array" ref="F27">_xlfn.ANCHORARRAY('Results - A'!U23)</f>
        <v>20</v>
      </c>
      <c r="G27" t="str">
        <v>Alex Tate</v>
      </c>
      <c r="H27" s="1">
        <v>22</v>
      </c>
      <c r="I27" s="4">
        <v>3.4375000000000003E-2</v>
      </c>
      <c r="J27" s="1">
        <v>9</v>
      </c>
      <c r="K27" s="1">
        <v>12</v>
      </c>
      <c r="L27" s="1">
        <v>21</v>
      </c>
      <c r="N27" s="1" cm="1">
        <f t="array" ref="N27">_xlfn.ANCHORARRAY('Results - A'!AC23)</f>
        <v>20</v>
      </c>
      <c r="O27" t="str">
        <v>Eamon Mason</v>
      </c>
      <c r="P27" s="1">
        <v>23</v>
      </c>
      <c r="Q27" s="4">
        <v>2.3136574074074073E-2</v>
      </c>
      <c r="R27" s="1">
        <v>8</v>
      </c>
      <c r="S27" s="1">
        <v>12</v>
      </c>
      <c r="T27" s="1">
        <v>20</v>
      </c>
    </row>
    <row r="28" spans="2:20" x14ac:dyDescent="0.2">
      <c r="B28" s="1" cm="1">
        <f t="array" ref="B28">_xlfn.ANCHORARRAY('Results - A'!A24)</f>
        <v>21</v>
      </c>
      <c r="C28" t="str">
        <v>Richard Halls</v>
      </c>
      <c r="D28" s="1">
        <v>104</v>
      </c>
      <c r="F28" s="1" cm="1">
        <f t="array" ref="F28">_xlfn.ANCHORARRAY('Results - A'!U24)</f>
        <v>20</v>
      </c>
      <c r="G28" t="str">
        <v>Conor Walsh</v>
      </c>
      <c r="H28" s="1">
        <v>10</v>
      </c>
      <c r="I28" s="4">
        <v>3.1921296296296295E-2</v>
      </c>
      <c r="J28" s="1">
        <v>21</v>
      </c>
      <c r="K28" s="1">
        <v>0</v>
      </c>
      <c r="L28" s="1">
        <v>21</v>
      </c>
      <c r="N28" s="1" cm="1">
        <f t="array" ref="N28">_xlfn.ANCHORARRAY('Results - A'!AC24)</f>
        <v>20</v>
      </c>
      <c r="O28" t="str">
        <v>Raif Oz</v>
      </c>
      <c r="P28" s="1">
        <v>11</v>
      </c>
      <c r="Q28" s="4">
        <v>2.1666666666666667E-2</v>
      </c>
      <c r="R28" s="1">
        <v>20</v>
      </c>
      <c r="S28" s="1">
        <v>0</v>
      </c>
      <c r="T28" s="1">
        <v>20</v>
      </c>
    </row>
    <row r="29" spans="2:20" x14ac:dyDescent="0.2">
      <c r="B29" s="1" cm="1">
        <f t="array" ref="B29">_xlfn.ANCHORARRAY('Results - A'!A25)</f>
        <v>22</v>
      </c>
      <c r="C29" t="str">
        <v>Tobi Rosenkranz</v>
      </c>
      <c r="D29" s="1">
        <v>97</v>
      </c>
      <c r="F29" s="1" cm="1">
        <f t="array" ref="F29">_xlfn.ANCHORARRAY('Results - A'!U25)</f>
        <v>20</v>
      </c>
      <c r="G29" t="str">
        <v>Tobi Rosenkranz</v>
      </c>
      <c r="H29" s="1">
        <v>16</v>
      </c>
      <c r="I29" s="4">
        <v>3.2870370370370369E-2</v>
      </c>
      <c r="J29" s="1">
        <v>15</v>
      </c>
      <c r="K29" s="1">
        <v>6</v>
      </c>
      <c r="L29" s="1">
        <v>21</v>
      </c>
      <c r="N29" s="1" cm="1">
        <f t="array" ref="N29">_xlfn.ANCHORARRAY('Results - A'!AC25)</f>
        <v>20</v>
      </c>
      <c r="O29" t="str">
        <v>Rupert Gordon-Watkins</v>
      </c>
      <c r="P29" s="1">
        <v>24</v>
      </c>
      <c r="Q29" s="4">
        <v>2.4571759259259258E-2</v>
      </c>
      <c r="R29" s="1">
        <v>7</v>
      </c>
      <c r="S29" s="1">
        <v>12</v>
      </c>
      <c r="T29" s="1">
        <v>19</v>
      </c>
    </row>
    <row r="30" spans="2:20" x14ac:dyDescent="0.2">
      <c r="B30" s="1" cm="1">
        <f t="array" ref="B30">_xlfn.ANCHORARRAY('Results - A'!A26)</f>
        <v>23</v>
      </c>
      <c r="C30" t="str">
        <v>Rupert Gordon-Watkins</v>
      </c>
      <c r="D30" s="1">
        <v>93</v>
      </c>
      <c r="F30" s="1" cm="1">
        <f t="array" ref="F30">_xlfn.ANCHORARRAY('Results - A'!U26)</f>
        <v>23</v>
      </c>
      <c r="G30" t="str">
        <v>Richard Halls</v>
      </c>
      <c r="H30" s="1">
        <v>23</v>
      </c>
      <c r="I30" s="4">
        <v>3.5879629629629629E-2</v>
      </c>
      <c r="J30" s="1">
        <v>8</v>
      </c>
      <c r="K30" s="1">
        <v>12</v>
      </c>
      <c r="L30" s="1">
        <v>20</v>
      </c>
      <c r="N30" s="1" cm="1">
        <f t="array" ref="N30">_xlfn.ANCHORARRAY('Results - A'!AC26)</f>
        <v>23</v>
      </c>
      <c r="O30" t="str">
        <v>Conor Walsh</v>
      </c>
      <c r="P30" s="1">
        <v>13</v>
      </c>
      <c r="Q30" s="4">
        <v>2.1863425925925925E-2</v>
      </c>
      <c r="R30" s="1">
        <v>18</v>
      </c>
      <c r="S30" s="1">
        <v>0</v>
      </c>
      <c r="T30" s="1">
        <v>18</v>
      </c>
    </row>
    <row r="31" spans="2:20" x14ac:dyDescent="0.2">
      <c r="B31" s="1" cm="1">
        <f t="array" ref="B31">_xlfn.ANCHORARRAY('Results - A'!A27)</f>
        <v>24</v>
      </c>
      <c r="C31" t="str">
        <v>Conor Walsh</v>
      </c>
      <c r="D31" s="1">
        <v>88</v>
      </c>
      <c r="F31" s="1" cm="1">
        <f t="array" ref="F31">_xlfn.ANCHORARRAY('Results - A'!U27)</f>
        <v>24</v>
      </c>
      <c r="G31" t="str">
        <v>Rupert Gordon-Watkins</v>
      </c>
      <c r="H31" s="1">
        <v>24</v>
      </c>
      <c r="I31" s="4">
        <v>3.6736111111111108E-2</v>
      </c>
      <c r="J31" s="1">
        <v>7</v>
      </c>
      <c r="K31" s="1">
        <v>12</v>
      </c>
      <c r="L31" s="1">
        <v>19</v>
      </c>
      <c r="N31" s="1" cm="1">
        <f t="array" ref="N31">_xlfn.ANCHORARRAY('Results - A'!AC27)</f>
        <v>24</v>
      </c>
      <c r="O31" t="str">
        <v>Jonny Bodey</v>
      </c>
      <c r="P31" s="1">
        <v>19</v>
      </c>
      <c r="Q31" s="4">
        <v>2.2499999999999999E-2</v>
      </c>
      <c r="R31" s="1">
        <v>12</v>
      </c>
      <c r="S31" s="1">
        <v>6</v>
      </c>
      <c r="T31" s="1">
        <v>18</v>
      </c>
    </row>
    <row r="32" spans="2:20" x14ac:dyDescent="0.2">
      <c r="B32" s="1" cm="1">
        <f t="array" ref="B32">_xlfn.ANCHORARRAY('Results - A'!A28)</f>
        <v>24</v>
      </c>
      <c r="C32" t="str">
        <v>Olly Wright</v>
      </c>
      <c r="D32" s="1">
        <v>88</v>
      </c>
      <c r="F32" s="1" cm="1">
        <f t="array" ref="F32">_xlfn.ANCHORARRAY('Results - A'!U28)</f>
        <v>25</v>
      </c>
      <c r="G32" t="str">
        <v>Olly Wright</v>
      </c>
      <c r="H32" s="1">
        <v>27</v>
      </c>
      <c r="I32" s="4">
        <v>3.8819444444444441E-2</v>
      </c>
      <c r="J32" s="1">
        <v>4</v>
      </c>
      <c r="K32" s="1">
        <v>12</v>
      </c>
      <c r="L32" s="1">
        <v>16</v>
      </c>
      <c r="N32" s="1" cm="1">
        <f t="array" ref="N32">_xlfn.ANCHORARRAY('Results - A'!AC28)</f>
        <v>25</v>
      </c>
      <c r="O32" t="str">
        <v>Olly Wright</v>
      </c>
      <c r="P32" s="1">
        <v>25</v>
      </c>
      <c r="Q32" s="4">
        <v>2.6655092592592591E-2</v>
      </c>
      <c r="R32" s="1">
        <v>6</v>
      </c>
      <c r="S32" s="1">
        <v>12</v>
      </c>
      <c r="T32" s="1">
        <v>18</v>
      </c>
    </row>
    <row r="33" spans="2:20" x14ac:dyDescent="0.2">
      <c r="B33" s="1" cm="1">
        <f t="array" ref="B33">_xlfn.ANCHORARRAY('Results - A'!A29)</f>
        <v>26</v>
      </c>
      <c r="C33" t="str">
        <v>Marcus Jones</v>
      </c>
      <c r="D33" s="1">
        <v>62</v>
      </c>
      <c r="F33" s="1" cm="1">
        <f t="array" ref="F33">_xlfn.ANCHORARRAY('Results - A'!U29)</f>
        <v>26</v>
      </c>
      <c r="G33" t="str">
        <v>Marcus Jones</v>
      </c>
      <c r="H33" s="1">
        <v>25</v>
      </c>
      <c r="I33" s="4">
        <v>3.8819444444444441E-2</v>
      </c>
      <c r="J33" s="1">
        <v>6</v>
      </c>
      <c r="K33" s="1">
        <v>6</v>
      </c>
      <c r="L33" s="1">
        <v>12</v>
      </c>
      <c r="N33" s="1" cm="1">
        <f t="array" ref="N33">_xlfn.ANCHORARRAY('Results - A'!AC29)</f>
        <v>26</v>
      </c>
      <c r="O33" t="str">
        <v>Richard Turner</v>
      </c>
      <c r="P33" s="1">
        <v>26</v>
      </c>
      <c r="Q33" s="4">
        <v>2.6655092592592591E-2</v>
      </c>
      <c r="R33" s="1">
        <v>5</v>
      </c>
      <c r="S33" s="1">
        <v>6</v>
      </c>
      <c r="T33" s="1">
        <v>11</v>
      </c>
    </row>
    <row r="34" spans="2:20" x14ac:dyDescent="0.2">
      <c r="B34" s="1" cm="1">
        <f t="array" ref="B34">_xlfn.ANCHORARRAY('Results - A'!A30)</f>
        <v>27</v>
      </c>
      <c r="C34" t="str">
        <v>Richard Turner</v>
      </c>
      <c r="D34" s="1">
        <v>61</v>
      </c>
      <c r="F34" s="1" cm="1">
        <f t="array" ref="F34">_xlfn.ANCHORARRAY('Results - A'!U30)</f>
        <v>27</v>
      </c>
      <c r="G34" t="str">
        <v>Richard Turner</v>
      </c>
      <c r="H34" s="1">
        <v>26</v>
      </c>
      <c r="I34" s="4">
        <v>3.8819444444444441E-2</v>
      </c>
      <c r="J34" s="1">
        <v>5</v>
      </c>
      <c r="K34" s="1">
        <v>6</v>
      </c>
      <c r="L34" s="1">
        <v>11</v>
      </c>
      <c r="N34" s="1" cm="1">
        <f t="array" ref="N34">_xlfn.ANCHORARRAY('Results - A'!AC30)</f>
        <v>27</v>
      </c>
      <c r="O34" t="str">
        <v>Marcus Jones</v>
      </c>
      <c r="P34" s="1">
        <v>27</v>
      </c>
      <c r="Q34" s="4">
        <v>2.6655092592592591E-2</v>
      </c>
      <c r="R34" s="1">
        <v>4</v>
      </c>
      <c r="S34" s="1">
        <v>6</v>
      </c>
      <c r="T34" s="1">
        <v>10</v>
      </c>
    </row>
    <row r="36" spans="2:20" ht="20" thickBot="1" x14ac:dyDescent="0.3">
      <c r="B36" s="22" t="s">
        <v>90</v>
      </c>
      <c r="C36" s="22"/>
      <c r="D36" s="22"/>
      <c r="F36" s="22" t="s">
        <v>116</v>
      </c>
      <c r="G36" s="22"/>
      <c r="H36" s="22"/>
      <c r="I36" s="22"/>
      <c r="J36" s="22"/>
      <c r="K36" s="22"/>
      <c r="L36" s="22"/>
      <c r="N36" s="22" t="s">
        <v>119</v>
      </c>
      <c r="O36" s="22"/>
      <c r="P36" s="22"/>
      <c r="Q36" s="22"/>
      <c r="R36" s="22"/>
      <c r="S36" s="22"/>
      <c r="T36" s="22"/>
    </row>
    <row r="37" spans="2:20" x14ac:dyDescent="0.2">
      <c r="B37" s="3" t="s">
        <v>23</v>
      </c>
      <c r="C37" s="7" t="s">
        <v>24</v>
      </c>
      <c r="D37" s="3" t="s">
        <v>27</v>
      </c>
      <c r="E37" s="3"/>
      <c r="F37" s="3" t="s">
        <v>44</v>
      </c>
      <c r="G37" s="7" t="s">
        <v>24</v>
      </c>
      <c r="H37" s="3" t="s">
        <v>45</v>
      </c>
      <c r="I37" s="9" t="s">
        <v>25</v>
      </c>
      <c r="J37" s="3" t="s">
        <v>46</v>
      </c>
      <c r="K37" s="3" t="s">
        <v>33</v>
      </c>
      <c r="L37" s="3" t="s">
        <v>26</v>
      </c>
      <c r="N37" s="3" t="s">
        <v>44</v>
      </c>
      <c r="O37" s="7" t="s">
        <v>24</v>
      </c>
      <c r="P37" s="3" t="s">
        <v>45</v>
      </c>
      <c r="Q37" s="9" t="s">
        <v>25</v>
      </c>
      <c r="R37" s="3" t="s">
        <v>46</v>
      </c>
      <c r="S37" s="3" t="s">
        <v>33</v>
      </c>
      <c r="T37" s="3" t="s">
        <v>26</v>
      </c>
    </row>
    <row r="38" spans="2:20" ht="7" customHeight="1" x14ac:dyDescent="0.2">
      <c r="P38" s="1"/>
      <c r="Q38" s="4"/>
      <c r="R38" s="1"/>
      <c r="S38" s="1"/>
      <c r="T38" s="1"/>
    </row>
    <row r="39" spans="2:20" x14ac:dyDescent="0.2">
      <c r="B39" s="1" cm="1">
        <f t="array" ref="B39">_xlfn.ANCHORARRAY('Results - B'!A4)</f>
        <v>1</v>
      </c>
      <c r="C39" t="str" cm="1">
        <f t="array" ref="C39:D78">_xlfn.ANCHORARRAY('Results - B'!B4)</f>
        <v>Russell Beard</v>
      </c>
      <c r="D39" s="1">
        <v>200</v>
      </c>
      <c r="F39" s="1" cm="1">
        <f t="array" ref="F39">_xlfn.ANCHORARRAY('Results - B'!U4)</f>
        <v>1</v>
      </c>
      <c r="G39" t="str" cm="1">
        <f t="array" ref="G39:L78">_xlfn.ANCHORARRAY('Results - B'!V4)</f>
        <v>James Turner</v>
      </c>
      <c r="H39" s="1">
        <v>13</v>
      </c>
      <c r="I39" s="4">
        <v>3.6979166666666667E-2</v>
      </c>
      <c r="J39" s="1">
        <v>28</v>
      </c>
      <c r="K39" s="1">
        <v>22</v>
      </c>
      <c r="L39" s="1">
        <v>40</v>
      </c>
      <c r="N39" s="1" cm="1">
        <f t="array" ref="N39">_xlfn.ANCHORARRAY('Results - B'!AC4)</f>
        <v>1</v>
      </c>
      <c r="O39" t="str" cm="1">
        <f t="array" ref="O39:T78">_xlfn.ANCHORARRAY('Results - B'!AD4)</f>
        <v>James Turner</v>
      </c>
      <c r="P39" s="1">
        <v>23</v>
      </c>
      <c r="Q39" s="4">
        <v>2.5983796296296297E-2</v>
      </c>
      <c r="R39" s="1">
        <v>18</v>
      </c>
      <c r="S39" s="1">
        <v>22</v>
      </c>
      <c r="T39" s="1">
        <v>40</v>
      </c>
    </row>
    <row r="40" spans="2:20" x14ac:dyDescent="0.2">
      <c r="B40" s="1" cm="1">
        <f t="array" ref="B40">_xlfn.ANCHORARRAY('Results - B'!A5)</f>
        <v>2</v>
      </c>
      <c r="C40" t="str">
        <v>Rich Southcott</v>
      </c>
      <c r="D40" s="1">
        <v>199</v>
      </c>
      <c r="F40" s="1" cm="1">
        <f t="array" ref="F40">_xlfn.ANCHORARRAY('Results - B'!U5)</f>
        <v>1</v>
      </c>
      <c r="G40" t="str">
        <v>Laura McMullen</v>
      </c>
      <c r="H40" s="1">
        <v>6</v>
      </c>
      <c r="I40" s="4">
        <v>3.5428240740740739E-2</v>
      </c>
      <c r="J40" s="1">
        <v>35</v>
      </c>
      <c r="K40" s="1">
        <v>8</v>
      </c>
      <c r="L40" s="1">
        <v>40</v>
      </c>
      <c r="N40" s="1" cm="1">
        <f t="array" ref="N40">_xlfn.ANCHORARRAY('Results - B'!AC5)</f>
        <v>1</v>
      </c>
      <c r="O40" t="str">
        <v>Luke Fenney</v>
      </c>
      <c r="P40" s="1">
        <v>17</v>
      </c>
      <c r="Q40" s="4">
        <v>2.4710648148148148E-2</v>
      </c>
      <c r="R40" s="1">
        <v>24</v>
      </c>
      <c r="S40" s="1">
        <v>16</v>
      </c>
      <c r="T40" s="1">
        <v>40</v>
      </c>
    </row>
    <row r="41" spans="2:20" x14ac:dyDescent="0.2">
      <c r="B41" s="1" cm="1">
        <f t="array" ref="B41">_xlfn.ANCHORARRAY('Results - B'!A6)</f>
        <v>3</v>
      </c>
      <c r="C41" t="str">
        <v xml:space="preserve">David Willis </v>
      </c>
      <c r="D41" s="1">
        <v>196</v>
      </c>
      <c r="F41" s="1" cm="1">
        <f t="array" ref="F41">_xlfn.ANCHORARRAY('Results - B'!U6)</f>
        <v>1</v>
      </c>
      <c r="G41" t="str">
        <v>Rich Southcott</v>
      </c>
      <c r="H41" s="1">
        <v>1</v>
      </c>
      <c r="I41" s="4">
        <v>3.3321759259259259E-2</v>
      </c>
      <c r="J41" s="1">
        <v>40</v>
      </c>
      <c r="K41" s="1">
        <v>0</v>
      </c>
      <c r="L41" s="1">
        <v>40</v>
      </c>
      <c r="N41" s="1" cm="1">
        <f t="array" ref="N41">_xlfn.ANCHORARRAY('Results - B'!AC6)</f>
        <v>1</v>
      </c>
      <c r="O41" t="str">
        <v>Rich Southcott</v>
      </c>
      <c r="P41" s="1">
        <v>1</v>
      </c>
      <c r="Q41" s="4">
        <v>2.1724537037037039E-2</v>
      </c>
      <c r="R41" s="1">
        <v>40</v>
      </c>
      <c r="S41" s="1">
        <v>0</v>
      </c>
      <c r="T41" s="1">
        <v>40</v>
      </c>
    </row>
    <row r="42" spans="2:20" x14ac:dyDescent="0.2">
      <c r="B42" s="1" cm="1">
        <f t="array" ref="B42">_xlfn.ANCHORARRAY('Results - B'!A7)</f>
        <v>4</v>
      </c>
      <c r="C42" t="str">
        <v>James Turner</v>
      </c>
      <c r="D42" s="1">
        <v>194</v>
      </c>
      <c r="F42" s="1" cm="1">
        <f t="array" ref="F42">_xlfn.ANCHORARRAY('Results - B'!U7)</f>
        <v>1</v>
      </c>
      <c r="G42" t="str">
        <v>Russell Beard</v>
      </c>
      <c r="H42" s="1">
        <v>8</v>
      </c>
      <c r="I42" s="4">
        <v>3.5960648148148151E-2</v>
      </c>
      <c r="J42" s="1">
        <v>33</v>
      </c>
      <c r="K42" s="1">
        <v>8</v>
      </c>
      <c r="L42" s="1">
        <v>40</v>
      </c>
      <c r="N42" s="1" cm="1">
        <f t="array" ref="N42">_xlfn.ANCHORARRAY('Results - B'!AC7)</f>
        <v>1</v>
      </c>
      <c r="O42" t="str">
        <v>Russell Beard</v>
      </c>
      <c r="P42" s="1">
        <v>6</v>
      </c>
      <c r="Q42" s="4">
        <v>2.3310185185185184E-2</v>
      </c>
      <c r="R42" s="1">
        <v>35</v>
      </c>
      <c r="S42" s="1">
        <v>8</v>
      </c>
      <c r="T42" s="1">
        <v>40</v>
      </c>
    </row>
    <row r="43" spans="2:20" x14ac:dyDescent="0.2">
      <c r="B43" s="1" cm="1">
        <f t="array" ref="B43">_xlfn.ANCHORARRAY('Results - B'!A8)</f>
        <v>5</v>
      </c>
      <c r="C43" t="str">
        <v>Peter Lyons</v>
      </c>
      <c r="D43" s="1">
        <v>189</v>
      </c>
      <c r="F43" s="1" cm="1">
        <f t="array" ref="F43">_xlfn.ANCHORARRAY('Results - B'!U8)</f>
        <v>5</v>
      </c>
      <c r="G43" t="str">
        <v xml:space="preserve">David Willis </v>
      </c>
      <c r="H43" s="1">
        <v>2</v>
      </c>
      <c r="I43" s="4">
        <v>3.4108796296296297E-2</v>
      </c>
      <c r="J43" s="1">
        <v>39</v>
      </c>
      <c r="K43" s="1">
        <v>0</v>
      </c>
      <c r="L43" s="1">
        <v>39</v>
      </c>
      <c r="N43" s="1" cm="1">
        <f t="array" ref="N43">_xlfn.ANCHORARRAY('Results - B'!AC8)</f>
        <v>5</v>
      </c>
      <c r="O43" t="str">
        <v xml:space="preserve">David Willis </v>
      </c>
      <c r="P43" s="1">
        <v>2</v>
      </c>
      <c r="Q43" s="4">
        <v>2.1990740740740741E-2</v>
      </c>
      <c r="R43" s="1">
        <v>39</v>
      </c>
      <c r="S43" s="1">
        <v>0</v>
      </c>
      <c r="T43" s="1">
        <v>39</v>
      </c>
    </row>
    <row r="44" spans="2:20" x14ac:dyDescent="0.2">
      <c r="B44" s="1" cm="1">
        <f t="array" ref="B44">_xlfn.ANCHORARRAY('Results - B'!A9)</f>
        <v>6</v>
      </c>
      <c r="C44" t="str">
        <v>Laura McMullen</v>
      </c>
      <c r="D44" s="1">
        <v>188</v>
      </c>
      <c r="F44" s="1" cm="1">
        <f t="array" ref="F44">_xlfn.ANCHORARRAY('Results - B'!U9)</f>
        <v>5</v>
      </c>
      <c r="G44" t="str">
        <v xml:space="preserve">Nick Dumonde </v>
      </c>
      <c r="H44" s="1">
        <v>10</v>
      </c>
      <c r="I44" s="4">
        <v>3.6145833333333335E-2</v>
      </c>
      <c r="J44" s="1">
        <v>31</v>
      </c>
      <c r="K44" s="1">
        <v>8</v>
      </c>
      <c r="L44" s="1">
        <v>39</v>
      </c>
      <c r="N44" s="1" cm="1">
        <f t="array" ref="N44">_xlfn.ANCHORARRAY('Results - B'!AC9)</f>
        <v>6</v>
      </c>
      <c r="O44" t="str">
        <v>Alessandra Scaduto</v>
      </c>
      <c r="P44" s="1">
        <v>25</v>
      </c>
      <c r="Q44" s="4">
        <v>2.6087962962962962E-2</v>
      </c>
      <c r="R44" s="1">
        <v>16</v>
      </c>
      <c r="S44" s="1">
        <v>22</v>
      </c>
      <c r="T44" s="1">
        <v>38</v>
      </c>
    </row>
    <row r="45" spans="2:20" x14ac:dyDescent="0.2">
      <c r="B45" s="1" cm="1">
        <f t="array" ref="B45">_xlfn.ANCHORARRAY('Results - B'!A10)</f>
        <v>7</v>
      </c>
      <c r="C45" t="str">
        <v>Sean Haywood</v>
      </c>
      <c r="D45" s="1">
        <v>185</v>
      </c>
      <c r="F45" s="1" cm="1">
        <f t="array" ref="F45">_xlfn.ANCHORARRAY('Results - B'!U10)</f>
        <v>7</v>
      </c>
      <c r="G45" t="str">
        <v>Alex Joss</v>
      </c>
      <c r="H45" s="1">
        <v>11</v>
      </c>
      <c r="I45" s="4">
        <v>3.6423611111111108E-2</v>
      </c>
      <c r="J45" s="1">
        <v>30</v>
      </c>
      <c r="K45" s="1">
        <v>8</v>
      </c>
      <c r="L45" s="1">
        <v>38</v>
      </c>
      <c r="N45" s="1" cm="1">
        <f t="array" ref="N45">_xlfn.ANCHORARRAY('Results - B'!AC10)</f>
        <v>6</v>
      </c>
      <c r="O45" t="str">
        <v>David Griffiths</v>
      </c>
      <c r="P45" s="1">
        <v>11</v>
      </c>
      <c r="Q45" s="4">
        <v>2.4039351851851853E-2</v>
      </c>
      <c r="R45" s="1">
        <v>30</v>
      </c>
      <c r="S45" s="1">
        <v>8</v>
      </c>
      <c r="T45" s="1">
        <v>38</v>
      </c>
    </row>
    <row r="46" spans="2:20" x14ac:dyDescent="0.2">
      <c r="B46" s="1" cm="1">
        <f t="array" ref="B46">_xlfn.ANCHORARRAY('Results - B'!A11)</f>
        <v>8</v>
      </c>
      <c r="C46" t="str">
        <v>Luke Fenney</v>
      </c>
      <c r="D46" s="1">
        <v>182</v>
      </c>
      <c r="F46" s="1" cm="1">
        <f t="array" ref="F46">_xlfn.ANCHORARRAY('Results - B'!U11)</f>
        <v>7</v>
      </c>
      <c r="G46" t="str">
        <v>Peter Lyons</v>
      </c>
      <c r="H46" s="1">
        <v>3</v>
      </c>
      <c r="I46" s="4">
        <v>3.4652777777777775E-2</v>
      </c>
      <c r="J46" s="1">
        <v>38</v>
      </c>
      <c r="K46" s="1">
        <v>0</v>
      </c>
      <c r="L46" s="1">
        <v>38</v>
      </c>
      <c r="N46" s="1" cm="1">
        <f t="array" ref="N46">_xlfn.ANCHORARRAY('Results - B'!AC11)</f>
        <v>6</v>
      </c>
      <c r="O46" t="str">
        <v>Peter Lyons</v>
      </c>
      <c r="P46" s="1">
        <v>3</v>
      </c>
      <c r="Q46" s="4">
        <v>2.2812499999999999E-2</v>
      </c>
      <c r="R46" s="1">
        <v>38</v>
      </c>
      <c r="S46" s="1">
        <v>0</v>
      </c>
      <c r="T46" s="1">
        <v>38</v>
      </c>
    </row>
    <row r="47" spans="2:20" x14ac:dyDescent="0.2">
      <c r="B47" s="1" cm="1">
        <f t="array" ref="B47">_xlfn.ANCHORARRAY('Results - B'!A12)</f>
        <v>9</v>
      </c>
      <c r="C47" t="str">
        <v>Alex Joss</v>
      </c>
      <c r="D47" s="1">
        <v>178</v>
      </c>
      <c r="F47" s="1" cm="1">
        <f t="array" ref="F47">_xlfn.ANCHORARRAY('Results - B'!U12)</f>
        <v>9</v>
      </c>
      <c r="G47" t="str">
        <v>Sean Haywood</v>
      </c>
      <c r="H47" s="1">
        <v>4</v>
      </c>
      <c r="I47" s="4">
        <v>3.5069444444444445E-2</v>
      </c>
      <c r="J47" s="1">
        <v>37</v>
      </c>
      <c r="K47" s="1">
        <v>0</v>
      </c>
      <c r="L47" s="1">
        <v>37</v>
      </c>
      <c r="N47" s="1" cm="1">
        <f t="array" ref="N47">_xlfn.ANCHORARRAY('Results - B'!AC12)</f>
        <v>9</v>
      </c>
      <c r="O47" t="str">
        <v>Sean Haywood</v>
      </c>
      <c r="P47" s="1">
        <v>4</v>
      </c>
      <c r="Q47" s="4">
        <v>2.2870370370370371E-2</v>
      </c>
      <c r="R47" s="1">
        <v>37</v>
      </c>
      <c r="S47" s="1">
        <v>0</v>
      </c>
      <c r="T47" s="1">
        <v>37</v>
      </c>
    </row>
    <row r="48" spans="2:20" x14ac:dyDescent="0.2">
      <c r="B48" s="1" cm="1">
        <f t="array" ref="B48">_xlfn.ANCHORARRAY('Results - B'!A13)</f>
        <v>10</v>
      </c>
      <c r="C48" t="str">
        <v>Alessandra Scaduto</v>
      </c>
      <c r="D48" s="1">
        <v>170</v>
      </c>
      <c r="F48" s="1" cm="1">
        <f t="array" ref="F48">_xlfn.ANCHORARRAY('Results - B'!U13)</f>
        <v>10</v>
      </c>
      <c r="G48" t="str">
        <v>Alan Grant</v>
      </c>
      <c r="H48" s="1">
        <v>5</v>
      </c>
      <c r="I48" s="4">
        <v>3.5324074074074077E-2</v>
      </c>
      <c r="J48" s="1">
        <v>36</v>
      </c>
      <c r="K48" s="1">
        <v>0</v>
      </c>
      <c r="L48" s="1">
        <v>36</v>
      </c>
      <c r="N48" s="1" cm="1">
        <f t="array" ref="N48">_xlfn.ANCHORARRAY('Results - B'!AC13)</f>
        <v>10</v>
      </c>
      <c r="O48" t="str">
        <v>Paul Davey</v>
      </c>
      <c r="P48" s="1">
        <v>5</v>
      </c>
      <c r="Q48" s="4">
        <v>2.2870370370370371E-2</v>
      </c>
      <c r="R48" s="1">
        <v>36</v>
      </c>
      <c r="S48" s="1">
        <v>0</v>
      </c>
      <c r="T48" s="1">
        <v>36</v>
      </c>
    </row>
    <row r="49" spans="2:20" x14ac:dyDescent="0.2">
      <c r="B49" s="1" cm="1">
        <f t="array" ref="B49">_xlfn.ANCHORARRAY('Results - B'!A14)</f>
        <v>11</v>
      </c>
      <c r="C49" t="str">
        <v>David Griffiths</v>
      </c>
      <c r="D49" s="1">
        <v>168</v>
      </c>
      <c r="F49" s="1" cm="1">
        <f t="array" ref="F49">_xlfn.ANCHORARRAY('Results - B'!U14)</f>
        <v>11</v>
      </c>
      <c r="G49" t="str">
        <v>Martyn Hopping</v>
      </c>
      <c r="H49" s="1">
        <v>22</v>
      </c>
      <c r="I49" s="4">
        <v>3.8958333333333331E-2</v>
      </c>
      <c r="J49" s="1">
        <v>19</v>
      </c>
      <c r="K49" s="1">
        <v>16</v>
      </c>
      <c r="L49" s="1">
        <v>35</v>
      </c>
      <c r="N49" s="1" cm="1">
        <f t="array" ref="N49">_xlfn.ANCHORARRAY('Results - B'!AC14)</f>
        <v>11</v>
      </c>
      <c r="O49" t="str">
        <v>Laura McMullen</v>
      </c>
      <c r="P49" s="1">
        <v>14</v>
      </c>
      <c r="Q49" s="4">
        <v>2.4155092592592593E-2</v>
      </c>
      <c r="R49" s="1">
        <v>27</v>
      </c>
      <c r="S49" s="1">
        <v>8</v>
      </c>
      <c r="T49" s="1">
        <v>35</v>
      </c>
    </row>
    <row r="50" spans="2:20" x14ac:dyDescent="0.2">
      <c r="B50" s="1" cm="1">
        <f t="array" ref="B50">_xlfn.ANCHORARRAY('Results - B'!A15)</f>
        <v>12</v>
      </c>
      <c r="C50" t="str">
        <v>Alex Wilson-Jones</v>
      </c>
      <c r="D50" s="1">
        <v>166</v>
      </c>
      <c r="F50" s="1" cm="1">
        <f t="array" ref="F50">_xlfn.ANCHORARRAY('Results - B'!U15)</f>
        <v>12</v>
      </c>
      <c r="G50" t="str">
        <v>Mark Presland</v>
      </c>
      <c r="H50" s="1">
        <v>7</v>
      </c>
      <c r="I50" s="4">
        <v>3.5810185185185188E-2</v>
      </c>
      <c r="J50" s="1">
        <v>34</v>
      </c>
      <c r="K50" s="1">
        <v>0</v>
      </c>
      <c r="L50" s="1">
        <v>34</v>
      </c>
      <c r="N50" s="1" cm="1">
        <f t="array" ref="N50">_xlfn.ANCHORARRAY('Results - B'!AC15)</f>
        <v>11</v>
      </c>
      <c r="O50" t="str">
        <v>Martyn Hopping</v>
      </c>
      <c r="P50" s="1">
        <v>22</v>
      </c>
      <c r="Q50" s="4">
        <v>2.5763888888888888E-2</v>
      </c>
      <c r="R50" s="1">
        <v>19</v>
      </c>
      <c r="S50" s="1">
        <v>16</v>
      </c>
      <c r="T50" s="1">
        <v>35</v>
      </c>
    </row>
    <row r="51" spans="2:20" x14ac:dyDescent="0.2">
      <c r="B51" s="1" cm="1">
        <f t="array" ref="B51">_xlfn.ANCHORARRAY('Results - B'!A16)</f>
        <v>13</v>
      </c>
      <c r="C51" t="str">
        <v>Joe Barrett</v>
      </c>
      <c r="D51" s="1">
        <v>164</v>
      </c>
      <c r="F51" s="1" cm="1">
        <f t="array" ref="F51">_xlfn.ANCHORARRAY('Results - B'!U16)</f>
        <v>12</v>
      </c>
      <c r="G51" t="str">
        <v>Patricia Villar</v>
      </c>
      <c r="H51" s="1">
        <v>33</v>
      </c>
      <c r="I51" s="4">
        <v>4.4849537037037035E-2</v>
      </c>
      <c r="J51" s="1">
        <v>12</v>
      </c>
      <c r="K51" s="1">
        <v>22</v>
      </c>
      <c r="L51" s="1">
        <v>34</v>
      </c>
      <c r="N51" s="1" cm="1">
        <f t="array" ref="N51">_xlfn.ANCHORARRAY('Results - B'!AC16)</f>
        <v>13</v>
      </c>
      <c r="O51" t="str">
        <v xml:space="preserve">Adam Currie </v>
      </c>
      <c r="P51" s="1">
        <v>7</v>
      </c>
      <c r="Q51" s="4">
        <v>2.3587962962962963E-2</v>
      </c>
      <c r="R51" s="1">
        <v>34</v>
      </c>
      <c r="S51" s="1">
        <v>0</v>
      </c>
      <c r="T51" s="1">
        <v>34</v>
      </c>
    </row>
    <row r="52" spans="2:20" x14ac:dyDescent="0.2">
      <c r="B52" s="1" cm="1">
        <f t="array" ref="B52">_xlfn.ANCHORARRAY('Results - B'!A17)</f>
        <v>14</v>
      </c>
      <c r="C52" t="str">
        <v>Jeremy Sharpe</v>
      </c>
      <c r="D52" s="1">
        <v>163</v>
      </c>
      <c r="F52" s="1" cm="1">
        <f t="array" ref="F52">_xlfn.ANCHORARRAY('Results - B'!U17)</f>
        <v>14</v>
      </c>
      <c r="G52" t="str">
        <v>Justin Goold</v>
      </c>
      <c r="H52" s="1">
        <v>16</v>
      </c>
      <c r="I52" s="4">
        <v>3.7557870370370373E-2</v>
      </c>
      <c r="J52" s="1">
        <v>25</v>
      </c>
      <c r="K52" s="1">
        <v>8</v>
      </c>
      <c r="L52" s="1">
        <v>33</v>
      </c>
      <c r="N52" s="1" cm="1">
        <f t="array" ref="N52">_xlfn.ANCHORARRAY('Results - B'!AC17)</f>
        <v>13</v>
      </c>
      <c r="O52" t="str">
        <v>Alex Wilson-Jones</v>
      </c>
      <c r="P52" s="1">
        <v>15</v>
      </c>
      <c r="Q52" s="4">
        <v>2.4328703703703703E-2</v>
      </c>
      <c r="R52" s="1">
        <v>26</v>
      </c>
      <c r="S52" s="1">
        <v>8</v>
      </c>
      <c r="T52" s="1">
        <v>34</v>
      </c>
    </row>
    <row r="53" spans="2:20" x14ac:dyDescent="0.2">
      <c r="B53" s="1" cm="1">
        <f t="array" ref="B53">_xlfn.ANCHORARRAY('Results - B'!A18)</f>
        <v>15</v>
      </c>
      <c r="C53" t="str">
        <v>Alexandra Chuchu</v>
      </c>
      <c r="D53" s="1">
        <v>162</v>
      </c>
      <c r="F53" s="1" cm="1">
        <f t="array" ref="F53">_xlfn.ANCHORARRAY('Results - B'!U18)</f>
        <v>14</v>
      </c>
      <c r="G53" t="str">
        <v>Luke Fenney</v>
      </c>
      <c r="H53" s="1">
        <v>24</v>
      </c>
      <c r="I53" s="4">
        <v>3.9664351851851853E-2</v>
      </c>
      <c r="J53" s="1">
        <v>17</v>
      </c>
      <c r="K53" s="1">
        <v>16</v>
      </c>
      <c r="L53" s="1">
        <v>33</v>
      </c>
      <c r="N53" s="1" cm="1">
        <f t="array" ref="N53">_xlfn.ANCHORARRAY('Results - B'!AC18)</f>
        <v>15</v>
      </c>
      <c r="O53" t="str">
        <v>Alex Joss</v>
      </c>
      <c r="P53" s="1">
        <v>16</v>
      </c>
      <c r="Q53" s="4">
        <v>2.4479166666666666E-2</v>
      </c>
      <c r="R53" s="1">
        <v>25</v>
      </c>
      <c r="S53" s="1">
        <v>8</v>
      </c>
      <c r="T53" s="1">
        <v>33</v>
      </c>
    </row>
    <row r="54" spans="2:20" x14ac:dyDescent="0.2">
      <c r="B54" s="1" cm="1">
        <f t="array" ref="B54">_xlfn.ANCHORARRAY('Results - B'!A19)</f>
        <v>16</v>
      </c>
      <c r="C54" t="str">
        <v>Martyn Hopping</v>
      </c>
      <c r="D54" s="1">
        <v>160</v>
      </c>
      <c r="F54" s="1" cm="1">
        <f t="array" ref="F54">_xlfn.ANCHORARRAY('Results - B'!U19)</f>
        <v>16</v>
      </c>
      <c r="G54" t="str">
        <v>Jeremy Sharpe</v>
      </c>
      <c r="H54" s="1">
        <v>17</v>
      </c>
      <c r="I54" s="4">
        <v>3.7638888888888888E-2</v>
      </c>
      <c r="J54" s="1">
        <v>24</v>
      </c>
      <c r="K54" s="1">
        <v>8</v>
      </c>
      <c r="L54" s="1">
        <v>32</v>
      </c>
      <c r="N54" s="1" cm="1">
        <f t="array" ref="N54">_xlfn.ANCHORARRAY('Results - B'!AC19)</f>
        <v>15</v>
      </c>
      <c r="O54" t="str">
        <v>David Goddard</v>
      </c>
      <c r="P54" s="1">
        <v>8</v>
      </c>
      <c r="Q54" s="4">
        <v>2.3622685185185184E-2</v>
      </c>
      <c r="R54" s="1">
        <v>33</v>
      </c>
      <c r="S54" s="1">
        <v>0</v>
      </c>
      <c r="T54" s="1">
        <v>33</v>
      </c>
    </row>
    <row r="55" spans="2:20" x14ac:dyDescent="0.2">
      <c r="B55" s="1" cm="1">
        <f t="array" ref="B55">_xlfn.ANCHORARRAY('Results - B'!A20)</f>
        <v>17</v>
      </c>
      <c r="C55" t="str">
        <v>Luke Benfield</v>
      </c>
      <c r="D55" s="1">
        <v>159</v>
      </c>
      <c r="F55" s="1" cm="1">
        <f t="array" ref="F55">_xlfn.ANCHORARRAY('Results - B'!U20)</f>
        <v>16</v>
      </c>
      <c r="G55" t="str">
        <v>Joe Barrett</v>
      </c>
      <c r="H55" s="1">
        <v>9</v>
      </c>
      <c r="I55" s="4">
        <v>3.5983796296296298E-2</v>
      </c>
      <c r="J55" s="1">
        <v>32</v>
      </c>
      <c r="K55" s="1">
        <v>0</v>
      </c>
      <c r="L55" s="1">
        <v>32</v>
      </c>
      <c r="N55" s="1" cm="1">
        <f t="array" ref="N55">_xlfn.ANCHORARRAY('Results - B'!AC20)</f>
        <v>17</v>
      </c>
      <c r="O55" t="str">
        <v>Alan Grant</v>
      </c>
      <c r="P55" s="1">
        <v>9</v>
      </c>
      <c r="Q55" s="4">
        <v>2.3715277777777776E-2</v>
      </c>
      <c r="R55" s="1">
        <v>32</v>
      </c>
      <c r="S55" s="1">
        <v>0</v>
      </c>
      <c r="T55" s="1">
        <v>32</v>
      </c>
    </row>
    <row r="56" spans="2:20" x14ac:dyDescent="0.2">
      <c r="B56" s="1" cm="1">
        <f t="array" ref="B56">_xlfn.ANCHORARRAY('Results - B'!A21)</f>
        <v>18</v>
      </c>
      <c r="C56" t="str">
        <v xml:space="preserve">Nick Dumonde </v>
      </c>
      <c r="D56" s="1">
        <v>156</v>
      </c>
      <c r="F56" s="1" cm="1">
        <f t="array" ref="F56">_xlfn.ANCHORARRAY('Results - B'!U21)</f>
        <v>16</v>
      </c>
      <c r="G56" t="str">
        <v>Phoebe Macwhinnie</v>
      </c>
      <c r="H56" s="1">
        <v>31</v>
      </c>
      <c r="I56" s="4">
        <v>4.3668981481481482E-2</v>
      </c>
      <c r="J56" s="1">
        <v>10</v>
      </c>
      <c r="K56" s="1">
        <v>22</v>
      </c>
      <c r="L56" s="1">
        <v>32</v>
      </c>
      <c r="N56" s="1" cm="1">
        <f t="array" ref="N56">_xlfn.ANCHORARRAY('Results - B'!AC21)</f>
        <v>18</v>
      </c>
      <c r="O56" t="str">
        <v>Jeremy Sharpe</v>
      </c>
      <c r="P56" s="1">
        <v>18</v>
      </c>
      <c r="Q56" s="4">
        <v>2.4745370370370369E-2</v>
      </c>
      <c r="R56" s="1">
        <v>23</v>
      </c>
      <c r="S56" s="1">
        <v>8</v>
      </c>
      <c r="T56" s="1">
        <v>31</v>
      </c>
    </row>
    <row r="57" spans="2:20" x14ac:dyDescent="0.2">
      <c r="B57" s="1" cm="1">
        <f t="array" ref="B57">_xlfn.ANCHORARRAY('Results - B'!A22)</f>
        <v>18</v>
      </c>
      <c r="C57" t="str">
        <v>Simon White</v>
      </c>
      <c r="D57" s="1">
        <v>156</v>
      </c>
      <c r="F57" s="1" cm="1">
        <f t="array" ref="F57">_xlfn.ANCHORARRAY('Results - B'!U22)</f>
        <v>19</v>
      </c>
      <c r="G57" t="str">
        <v>Alexandra Chuchu</v>
      </c>
      <c r="H57" s="1">
        <v>32</v>
      </c>
      <c r="I57" s="4">
        <v>4.4270833333333336E-2</v>
      </c>
      <c r="J57" s="1">
        <v>9</v>
      </c>
      <c r="K57" s="1">
        <v>22</v>
      </c>
      <c r="L57" s="1">
        <v>31</v>
      </c>
      <c r="N57" s="1" cm="1">
        <f t="array" ref="N57">_xlfn.ANCHORARRAY('Results - B'!AC22)</f>
        <v>18</v>
      </c>
      <c r="O57" t="str">
        <v>Joe Barrett</v>
      </c>
      <c r="P57" s="1">
        <v>10</v>
      </c>
      <c r="Q57" s="4">
        <v>2.3969907407407409E-2</v>
      </c>
      <c r="R57" s="1">
        <v>31</v>
      </c>
      <c r="S57" s="1">
        <v>0</v>
      </c>
      <c r="T57" s="1">
        <v>31</v>
      </c>
    </row>
    <row r="58" spans="2:20" x14ac:dyDescent="0.2">
      <c r="B58" s="1" cm="1">
        <f t="array" ref="B58">_xlfn.ANCHORARRAY('Results - B'!A23)</f>
        <v>20</v>
      </c>
      <c r="C58" t="str">
        <v>Phoebe Macwhinnie</v>
      </c>
      <c r="D58" s="1">
        <v>155</v>
      </c>
      <c r="F58" s="1" cm="1">
        <f t="array" ref="F58">_xlfn.ANCHORARRAY('Results - B'!U23)</f>
        <v>19</v>
      </c>
      <c r="G58" t="str">
        <v>Matt Wynn</v>
      </c>
      <c r="H58" s="1">
        <v>26</v>
      </c>
      <c r="I58" s="4">
        <v>4.0081018518518516E-2</v>
      </c>
      <c r="J58" s="1">
        <v>15</v>
      </c>
      <c r="K58" s="1">
        <v>16</v>
      </c>
      <c r="L58" s="1">
        <v>31</v>
      </c>
      <c r="N58" s="1" cm="1">
        <f t="array" ref="N58">_xlfn.ANCHORARRAY('Results - B'!AC23)</f>
        <v>18</v>
      </c>
      <c r="O58" t="str">
        <v>Mark Stancombe</v>
      </c>
      <c r="P58" s="1">
        <v>38</v>
      </c>
      <c r="Q58" s="4">
        <v>3.4953703703703702E-2</v>
      </c>
      <c r="R58" s="1">
        <v>15</v>
      </c>
      <c r="S58" s="1">
        <v>16</v>
      </c>
      <c r="T58" s="1">
        <v>31</v>
      </c>
    </row>
    <row r="59" spans="2:20" x14ac:dyDescent="0.2">
      <c r="B59" s="1" cm="1">
        <f t="array" ref="B59">_xlfn.ANCHORARRAY('Results - B'!A24)</f>
        <v>20</v>
      </c>
      <c r="C59" t="str">
        <v>Tom Bagley</v>
      </c>
      <c r="D59" s="1">
        <v>155</v>
      </c>
      <c r="F59" s="1" cm="1">
        <f t="array" ref="F59">_xlfn.ANCHORARRAY('Results - B'!U24)</f>
        <v>19</v>
      </c>
      <c r="G59" t="str">
        <v>Simon White</v>
      </c>
      <c r="H59" s="1">
        <v>18</v>
      </c>
      <c r="I59" s="4">
        <v>3.7766203703703705E-2</v>
      </c>
      <c r="J59" s="1">
        <v>23</v>
      </c>
      <c r="K59" s="1">
        <v>8</v>
      </c>
      <c r="L59" s="1">
        <v>31</v>
      </c>
      <c r="N59" s="1" cm="1">
        <f t="array" ref="N59">_xlfn.ANCHORARRAY('Results - B'!AC24)</f>
        <v>18</v>
      </c>
      <c r="O59" t="str">
        <v>Phoebe Macwhinnie</v>
      </c>
      <c r="P59" s="1">
        <v>32</v>
      </c>
      <c r="Q59" s="4">
        <v>2.7002314814814816E-2</v>
      </c>
      <c r="R59" s="1">
        <v>9</v>
      </c>
      <c r="S59" s="1">
        <v>22</v>
      </c>
      <c r="T59" s="1">
        <v>31</v>
      </c>
    </row>
    <row r="60" spans="2:20" x14ac:dyDescent="0.2">
      <c r="B60" s="1" cm="1">
        <f t="array" ref="B60">_xlfn.ANCHORARRAY('Results - B'!A25)</f>
        <v>22</v>
      </c>
      <c r="C60" t="str">
        <v>Patricia Villar</v>
      </c>
      <c r="D60" s="1">
        <v>153</v>
      </c>
      <c r="F60" s="1" cm="1">
        <f t="array" ref="F60">_xlfn.ANCHORARRAY('Results - B'!U25)</f>
        <v>22</v>
      </c>
      <c r="G60" t="str">
        <v>Alex Wilson-Jones</v>
      </c>
      <c r="H60" s="1">
        <v>19</v>
      </c>
      <c r="I60" s="4">
        <v>3.7951388888888889E-2</v>
      </c>
      <c r="J60" s="1">
        <v>22</v>
      </c>
      <c r="K60" s="1">
        <v>8</v>
      </c>
      <c r="L60" s="1">
        <v>30</v>
      </c>
      <c r="N60" s="1" cm="1">
        <f t="array" ref="N60">_xlfn.ANCHORARRAY('Results - B'!AC25)</f>
        <v>22</v>
      </c>
      <c r="O60" t="str">
        <v>Alexandra Chuchu</v>
      </c>
      <c r="P60" s="1">
        <v>33</v>
      </c>
      <c r="Q60" s="4">
        <v>2.7488425925925927E-2</v>
      </c>
      <c r="R60" s="1">
        <v>8</v>
      </c>
      <c r="S60" s="1">
        <v>22</v>
      </c>
      <c r="T60" s="1">
        <v>30</v>
      </c>
    </row>
    <row r="61" spans="2:20" x14ac:dyDescent="0.2">
      <c r="B61" s="1" cm="1">
        <f t="array" ref="B61">_xlfn.ANCHORARRAY('Results - B'!A26)</f>
        <v>23</v>
      </c>
      <c r="C61" t="str">
        <v>Matt Wynn</v>
      </c>
      <c r="D61" s="1">
        <v>149</v>
      </c>
      <c r="F61" s="1" cm="1">
        <f t="array" ref="F61">_xlfn.ANCHORARRAY('Results - B'!U26)</f>
        <v>22</v>
      </c>
      <c r="G61" t="str">
        <v>Tom Bagley</v>
      </c>
      <c r="H61" s="1">
        <v>27</v>
      </c>
      <c r="I61" s="4">
        <v>4.1076388888888891E-2</v>
      </c>
      <c r="J61" s="1">
        <v>14</v>
      </c>
      <c r="K61" s="1">
        <v>16</v>
      </c>
      <c r="L61" s="1">
        <v>30</v>
      </c>
      <c r="N61" s="1" cm="1">
        <f t="array" ref="N61">_xlfn.ANCHORARRAY('Results - B'!AC26)</f>
        <v>22</v>
      </c>
      <c r="O61" t="str">
        <v>Gareth Edwards</v>
      </c>
      <c r="P61" s="1">
        <v>19</v>
      </c>
      <c r="Q61" s="4">
        <v>2.480324074074074E-2</v>
      </c>
      <c r="R61" s="1">
        <v>22</v>
      </c>
      <c r="S61" s="1">
        <v>8</v>
      </c>
      <c r="T61" s="1">
        <v>30</v>
      </c>
    </row>
    <row r="62" spans="2:20" x14ac:dyDescent="0.2">
      <c r="B62" s="1" cm="1">
        <f t="array" ref="B62">_xlfn.ANCHORARRAY('Results - B'!A27)</f>
        <v>24</v>
      </c>
      <c r="C62" t="str">
        <v>Paul Davey</v>
      </c>
      <c r="D62" s="1">
        <v>145</v>
      </c>
      <c r="F62" s="1" cm="1">
        <f t="array" ref="F62">_xlfn.ANCHORARRAY('Results - B'!U27)</f>
        <v>24</v>
      </c>
      <c r="G62" t="str">
        <v>Gareth Edwards</v>
      </c>
      <c r="H62" s="1">
        <v>20</v>
      </c>
      <c r="I62" s="4">
        <v>3.8310185185185183E-2</v>
      </c>
      <c r="J62" s="1">
        <v>21</v>
      </c>
      <c r="K62" s="1">
        <v>8</v>
      </c>
      <c r="L62" s="1">
        <v>29</v>
      </c>
      <c r="N62" s="1" cm="1">
        <f t="array" ref="N62">_xlfn.ANCHORARRAY('Results - B'!AC27)</f>
        <v>24</v>
      </c>
      <c r="O62" t="str">
        <v>Luke Benfield</v>
      </c>
      <c r="P62" s="1">
        <v>12</v>
      </c>
      <c r="Q62" s="4">
        <v>2.4097222222222221E-2</v>
      </c>
      <c r="R62" s="1">
        <v>29</v>
      </c>
      <c r="S62" s="1">
        <v>0</v>
      </c>
      <c r="T62" s="1">
        <v>29</v>
      </c>
    </row>
    <row r="63" spans="2:20" x14ac:dyDescent="0.2">
      <c r="B63" s="1" cm="1">
        <f t="array" ref="B63">_xlfn.ANCHORARRAY('Results - B'!A28)</f>
        <v>25</v>
      </c>
      <c r="C63" t="str">
        <v>Peter King</v>
      </c>
      <c r="D63" s="1">
        <v>144</v>
      </c>
      <c r="F63" s="1" cm="1">
        <f t="array" ref="F63">_xlfn.ANCHORARRAY('Results - B'!U28)</f>
        <v>24</v>
      </c>
      <c r="G63" t="str">
        <v>Luke Benfield</v>
      </c>
      <c r="H63" s="1">
        <v>12</v>
      </c>
      <c r="I63" s="4">
        <v>3.6770833333333336E-2</v>
      </c>
      <c r="J63" s="1">
        <v>29</v>
      </c>
      <c r="K63" s="1">
        <v>0</v>
      </c>
      <c r="L63" s="1">
        <v>29</v>
      </c>
      <c r="N63" s="1" cm="1">
        <f t="array" ref="N63">_xlfn.ANCHORARRAY('Results - B'!AC28)</f>
        <v>24</v>
      </c>
      <c r="O63" t="str">
        <v xml:space="preserve">Nick Dumonde </v>
      </c>
      <c r="P63" s="1">
        <v>20</v>
      </c>
      <c r="Q63" s="4">
        <v>2.4814814814814814E-2</v>
      </c>
      <c r="R63" s="1">
        <v>21</v>
      </c>
      <c r="S63" s="1">
        <v>8</v>
      </c>
      <c r="T63" s="1">
        <v>29</v>
      </c>
    </row>
    <row r="64" spans="2:20" x14ac:dyDescent="0.2">
      <c r="B64" s="1" cm="1">
        <f t="array" ref="B64">_xlfn.ANCHORARRAY('Results - B'!A29)</f>
        <v>26</v>
      </c>
      <c r="C64" t="str">
        <v>Gareth Edwards</v>
      </c>
      <c r="D64" s="1">
        <v>141</v>
      </c>
      <c r="F64" s="1" cm="1">
        <f t="array" ref="F64">_xlfn.ANCHORARRAY('Results - B'!U29)</f>
        <v>24</v>
      </c>
      <c r="G64" t="str">
        <v>Peter King</v>
      </c>
      <c r="H64" s="1">
        <v>34</v>
      </c>
      <c r="I64" s="4">
        <v>5.1770833333333335E-2</v>
      </c>
      <c r="J64" s="1">
        <v>7</v>
      </c>
      <c r="K64" s="1">
        <v>22</v>
      </c>
      <c r="L64" s="1">
        <v>29</v>
      </c>
      <c r="N64" s="1" cm="1">
        <f t="array" ref="N64">_xlfn.ANCHORARRAY('Results - B'!AC29)</f>
        <v>24</v>
      </c>
      <c r="O64" t="str">
        <v>Patricia Villar</v>
      </c>
      <c r="P64" s="1">
        <v>34</v>
      </c>
      <c r="Q64" s="4">
        <v>2.8078703703703703E-2</v>
      </c>
      <c r="R64" s="1">
        <v>7</v>
      </c>
      <c r="S64" s="1">
        <v>22</v>
      </c>
      <c r="T64" s="1">
        <v>29</v>
      </c>
    </row>
    <row r="65" spans="2:20" x14ac:dyDescent="0.2">
      <c r="B65" s="1" cm="1">
        <f t="array" ref="B65">_xlfn.ANCHORARRAY('Results - B'!A30)</f>
        <v>27</v>
      </c>
      <c r="C65" t="str">
        <v>David Goddard</v>
      </c>
      <c r="D65" s="1">
        <v>140</v>
      </c>
      <c r="F65" s="1" cm="1">
        <f t="array" ref="F65">_xlfn.ANCHORARRAY('Results - B'!U30)</f>
        <v>27</v>
      </c>
      <c r="G65" t="str">
        <v>Funking Baxter</v>
      </c>
      <c r="H65" s="1">
        <v>35</v>
      </c>
      <c r="I65" s="4">
        <v>6.039351851851852E-2</v>
      </c>
      <c r="J65" s="1">
        <v>6</v>
      </c>
      <c r="K65" s="1">
        <v>22</v>
      </c>
      <c r="L65" s="1">
        <v>28</v>
      </c>
      <c r="N65" s="1" cm="1">
        <f t="array" ref="N65">_xlfn.ANCHORARRAY('Results - B'!AC30)</f>
        <v>27</v>
      </c>
      <c r="O65" t="str">
        <v>Funking Baxter</v>
      </c>
      <c r="P65" s="1">
        <v>35</v>
      </c>
      <c r="Q65" s="4">
        <v>3.1631944444444442E-2</v>
      </c>
      <c r="R65" s="1">
        <v>6</v>
      </c>
      <c r="S65" s="1">
        <v>22</v>
      </c>
      <c r="T65" s="1">
        <v>28</v>
      </c>
    </row>
    <row r="66" spans="2:20" x14ac:dyDescent="0.2">
      <c r="B66" s="1" cm="1">
        <f t="array" ref="B66">_xlfn.ANCHORARRAY('Results - B'!A31)</f>
        <v>27</v>
      </c>
      <c r="C66" t="str">
        <v>Justin Goold</v>
      </c>
      <c r="D66" s="1">
        <v>140</v>
      </c>
      <c r="F66" s="1" cm="1">
        <f t="array" ref="F66">_xlfn.ANCHORARRAY('Results - B'!U31)</f>
        <v>27</v>
      </c>
      <c r="G66" t="str">
        <v>Richard Harrison</v>
      </c>
      <c r="H66" s="1">
        <v>21</v>
      </c>
      <c r="I66" s="4">
        <v>3.8680555555555558E-2</v>
      </c>
      <c r="J66" s="1">
        <v>20</v>
      </c>
      <c r="K66" s="1">
        <v>8</v>
      </c>
      <c r="L66" s="1">
        <v>28</v>
      </c>
      <c r="N66" s="1" cm="1">
        <f t="array" ref="N66">_xlfn.ANCHORARRAY('Results - B'!AC31)</f>
        <v>27</v>
      </c>
      <c r="O66" t="str">
        <v>Mark Presland</v>
      </c>
      <c r="P66" s="1">
        <v>13</v>
      </c>
      <c r="Q66" s="4">
        <v>2.4108796296296295E-2</v>
      </c>
      <c r="R66" s="1">
        <v>28</v>
      </c>
      <c r="S66" s="1">
        <v>0</v>
      </c>
      <c r="T66" s="1">
        <v>28</v>
      </c>
    </row>
    <row r="67" spans="2:20" x14ac:dyDescent="0.2">
      <c r="B67" s="1" cm="1">
        <f t="array" ref="B67">_xlfn.ANCHORARRAY('Results - B'!A32)</f>
        <v>29</v>
      </c>
      <c r="C67" t="str">
        <v>Funking Baxter</v>
      </c>
      <c r="D67" s="1">
        <v>138</v>
      </c>
      <c r="F67" s="1" cm="1">
        <f t="array" ref="F67">_xlfn.ANCHORARRAY('Results - B'!U32)</f>
        <v>29</v>
      </c>
      <c r="G67" t="str">
        <v>David Goddard</v>
      </c>
      <c r="H67" s="1">
        <v>14</v>
      </c>
      <c r="I67" s="4">
        <v>3.7465277777777778E-2</v>
      </c>
      <c r="J67" s="1">
        <v>27</v>
      </c>
      <c r="K67" s="1">
        <v>0</v>
      </c>
      <c r="L67" s="1">
        <v>27</v>
      </c>
      <c r="N67" s="1" cm="1">
        <f t="array" ref="N67">_xlfn.ANCHORARRAY('Results - B'!AC32)</f>
        <v>27</v>
      </c>
      <c r="O67" t="str">
        <v>Simon White</v>
      </c>
      <c r="P67" s="1">
        <v>21</v>
      </c>
      <c r="Q67" s="4">
        <v>2.5289351851851851E-2</v>
      </c>
      <c r="R67" s="1">
        <v>20</v>
      </c>
      <c r="S67" s="1">
        <v>8</v>
      </c>
      <c r="T67" s="1">
        <v>28</v>
      </c>
    </row>
    <row r="68" spans="2:20" x14ac:dyDescent="0.2">
      <c r="B68" s="1" cm="1">
        <f t="array" ref="B68">_xlfn.ANCHORARRAY('Results - B'!A33)</f>
        <v>30</v>
      </c>
      <c r="C68" t="str">
        <v>Mark Presland</v>
      </c>
      <c r="D68" s="1">
        <v>134</v>
      </c>
      <c r="F68" s="1" cm="1">
        <f t="array" ref="F68">_xlfn.ANCHORARRAY('Results - B'!U33)</f>
        <v>29</v>
      </c>
      <c r="G68" t="str">
        <v>Harvey Jackson</v>
      </c>
      <c r="H68" s="1">
        <v>30</v>
      </c>
      <c r="I68" s="4">
        <v>4.3344907407407408E-2</v>
      </c>
      <c r="J68" s="1">
        <v>11</v>
      </c>
      <c r="K68" s="1">
        <v>16</v>
      </c>
      <c r="L68" s="1">
        <v>27</v>
      </c>
      <c r="N68" s="1" cm="1">
        <f t="array" ref="N68">_xlfn.ANCHORARRAY('Results - B'!AC33)</f>
        <v>27</v>
      </c>
      <c r="O68" t="str">
        <v>Tom Bagley</v>
      </c>
      <c r="P68" s="1">
        <v>29</v>
      </c>
      <c r="Q68" s="4">
        <v>2.6805555555555555E-2</v>
      </c>
      <c r="R68" s="1">
        <v>12</v>
      </c>
      <c r="S68" s="1">
        <v>16</v>
      </c>
      <c r="T68" s="1">
        <v>28</v>
      </c>
    </row>
    <row r="69" spans="2:20" x14ac:dyDescent="0.2">
      <c r="B69" s="1" cm="1">
        <f t="array" ref="B69">_xlfn.ANCHORARRAY('Results - B'!A34)</f>
        <v>31</v>
      </c>
      <c r="C69" t="str">
        <v>Alan Grant</v>
      </c>
      <c r="D69" s="1">
        <v>131</v>
      </c>
      <c r="F69" s="1" cm="1">
        <f t="array" ref="F69">_xlfn.ANCHORARRAY('Results - B'!U34)</f>
        <v>31</v>
      </c>
      <c r="G69" t="str">
        <v>Paul Davey</v>
      </c>
      <c r="H69" s="1">
        <v>15</v>
      </c>
      <c r="I69" s="4">
        <v>3.7499999999999999E-2</v>
      </c>
      <c r="J69" s="1">
        <v>26</v>
      </c>
      <c r="K69" s="1">
        <v>0</v>
      </c>
      <c r="L69" s="1">
        <v>26</v>
      </c>
      <c r="N69" s="1" cm="1">
        <f t="array" ref="N69">_xlfn.ANCHORARRAY('Results - B'!AC34)</f>
        <v>31</v>
      </c>
      <c r="O69" t="str">
        <v>Matt Wynn</v>
      </c>
      <c r="P69" s="1">
        <v>30</v>
      </c>
      <c r="Q69" s="4">
        <v>2.6898148148148147E-2</v>
      </c>
      <c r="R69" s="1">
        <v>11</v>
      </c>
      <c r="S69" s="1">
        <v>16</v>
      </c>
      <c r="T69" s="1">
        <v>27</v>
      </c>
    </row>
    <row r="70" spans="2:20" x14ac:dyDescent="0.2">
      <c r="B70" s="1" cm="1">
        <f t="array" ref="B70">_xlfn.ANCHORARRAY('Results - B'!A35)</f>
        <v>32</v>
      </c>
      <c r="C70" t="str">
        <v>Richard Harrison</v>
      </c>
      <c r="D70" s="1">
        <v>129</v>
      </c>
      <c r="F70" s="1" cm="1">
        <f t="array" ref="F70">_xlfn.ANCHORARRAY('Results - B'!U35)</f>
        <v>31</v>
      </c>
      <c r="G70" t="str">
        <v>Rob Cherry</v>
      </c>
      <c r="H70" s="1">
        <v>23</v>
      </c>
      <c r="I70" s="4">
        <v>3.9108796296296294E-2</v>
      </c>
      <c r="J70" s="1">
        <v>18</v>
      </c>
      <c r="K70" s="1">
        <v>8</v>
      </c>
      <c r="L70" s="1">
        <v>26</v>
      </c>
      <c r="N70" s="1" cm="1">
        <f t="array" ref="N70">_xlfn.ANCHORARRAY('Results - B'!AC35)</f>
        <v>31</v>
      </c>
      <c r="O70" t="str">
        <v>Peter King</v>
      </c>
      <c r="P70" s="1">
        <v>36</v>
      </c>
      <c r="Q70" s="4">
        <v>3.2870370370370369E-2</v>
      </c>
      <c r="R70" s="1">
        <v>5</v>
      </c>
      <c r="S70" s="1">
        <v>22</v>
      </c>
      <c r="T70" s="1">
        <v>27</v>
      </c>
    </row>
    <row r="71" spans="2:20" x14ac:dyDescent="0.2">
      <c r="B71" s="1" cm="1">
        <f t="array" ref="B71">_xlfn.ANCHORARRAY('Results - B'!A36)</f>
        <v>33</v>
      </c>
      <c r="C71" t="str">
        <v>Jonny Vaux</v>
      </c>
      <c r="D71" s="1">
        <v>128</v>
      </c>
      <c r="F71" s="1" cm="1">
        <f t="array" ref="F71">_xlfn.ANCHORARRAY('Results - B'!U36)</f>
        <v>33</v>
      </c>
      <c r="G71" t="str">
        <v>David Griffiths</v>
      </c>
      <c r="H71" s="1">
        <v>25</v>
      </c>
      <c r="I71" s="4">
        <v>3.9849537037037037E-2</v>
      </c>
      <c r="J71" s="1">
        <v>16</v>
      </c>
      <c r="K71" s="1">
        <v>8</v>
      </c>
      <c r="L71" s="1">
        <v>24</v>
      </c>
      <c r="N71" s="1" cm="1">
        <f t="array" ref="N71">_xlfn.ANCHORARRAY('Results - B'!AC36)</f>
        <v>33</v>
      </c>
      <c r="O71" t="str">
        <v>Justin Goold</v>
      </c>
      <c r="P71" s="1">
        <v>24</v>
      </c>
      <c r="Q71" s="4">
        <v>2.6030092592592594E-2</v>
      </c>
      <c r="R71" s="1">
        <v>17</v>
      </c>
      <c r="S71" s="1">
        <v>8</v>
      </c>
      <c r="T71" s="1">
        <v>25</v>
      </c>
    </row>
    <row r="72" spans="2:20" x14ac:dyDescent="0.2">
      <c r="B72" s="1" cm="1">
        <f t="array" ref="B72">_xlfn.ANCHORARRAY('Results - B'!A37)</f>
        <v>34</v>
      </c>
      <c r="C72" t="str">
        <v>Harvey Jackson</v>
      </c>
      <c r="D72" s="1">
        <v>127</v>
      </c>
      <c r="F72" s="1" cm="1">
        <f t="array" ref="F72">_xlfn.ANCHORARRAY('Results - B'!U37)</f>
        <v>34</v>
      </c>
      <c r="G72" t="str">
        <v>Jonny Vaux</v>
      </c>
      <c r="H72" s="1">
        <v>40</v>
      </c>
      <c r="I72" s="4">
        <v>6.2476851851851853E-2</v>
      </c>
      <c r="J72" s="1">
        <v>1</v>
      </c>
      <c r="K72" s="1">
        <v>22</v>
      </c>
      <c r="L72" s="1">
        <v>23</v>
      </c>
      <c r="N72" s="1" cm="1">
        <f t="array" ref="N72">_xlfn.ANCHORARRAY('Results - B'!AC37)</f>
        <v>34</v>
      </c>
      <c r="O72" t="str">
        <v>Jonny Vaux</v>
      </c>
      <c r="P72" s="1">
        <v>40</v>
      </c>
      <c r="Q72" s="4">
        <v>3.4953703703703702E-2</v>
      </c>
      <c r="R72" s="1">
        <v>1</v>
      </c>
      <c r="S72" s="1">
        <v>22</v>
      </c>
      <c r="T72" s="1">
        <v>23</v>
      </c>
    </row>
    <row r="73" spans="2:20" x14ac:dyDescent="0.2">
      <c r="B73" s="1" cm="1">
        <f t="array" ref="B73">_xlfn.ANCHORARRAY('Results - B'!A38)</f>
        <v>35</v>
      </c>
      <c r="C73" t="str">
        <v>Mark Stancombe</v>
      </c>
      <c r="D73" s="1">
        <v>119</v>
      </c>
      <c r="F73" s="1" cm="1">
        <f t="array" ref="F73">_xlfn.ANCHORARRAY('Results - B'!U38)</f>
        <v>35</v>
      </c>
      <c r="G73" t="str">
        <v>Alessandra Scaduto</v>
      </c>
      <c r="H73" s="1">
        <v>29</v>
      </c>
      <c r="I73" s="4">
        <v>4.2418981481481481E-2</v>
      </c>
      <c r="J73" s="1">
        <v>0</v>
      </c>
      <c r="K73" s="1">
        <v>22</v>
      </c>
      <c r="L73" s="1">
        <v>22</v>
      </c>
      <c r="N73" s="1" cm="1">
        <f t="array" ref="N73">_xlfn.ANCHORARRAY('Results - B'!AC38)</f>
        <v>35</v>
      </c>
      <c r="O73" t="str">
        <v>Chris Croft</v>
      </c>
      <c r="P73" s="1">
        <v>27</v>
      </c>
      <c r="Q73" s="4">
        <v>2.6377314814814815E-2</v>
      </c>
      <c r="R73" s="1">
        <v>14</v>
      </c>
      <c r="S73" s="1">
        <v>8</v>
      </c>
      <c r="T73" s="1">
        <v>22</v>
      </c>
    </row>
    <row r="74" spans="2:20" x14ac:dyDescent="0.2">
      <c r="B74" s="1" cm="1">
        <f t="array" ref="B74">_xlfn.ANCHORARRAY('Results - B'!A39)</f>
        <v>36</v>
      </c>
      <c r="C74" t="str">
        <v>Chris Croft</v>
      </c>
      <c r="D74" s="1">
        <v>113</v>
      </c>
      <c r="F74" s="1" cm="1">
        <f t="array" ref="F74">_xlfn.ANCHORARRAY('Results - B'!U39)</f>
        <v>36</v>
      </c>
      <c r="G74" t="str">
        <v>Chris Croft</v>
      </c>
      <c r="H74" s="1">
        <v>28</v>
      </c>
      <c r="I74" s="4">
        <v>4.1180555555555554E-2</v>
      </c>
      <c r="J74" s="1">
        <v>13</v>
      </c>
      <c r="K74" s="1">
        <v>8</v>
      </c>
      <c r="L74" s="1">
        <v>21</v>
      </c>
      <c r="N74" s="1" cm="1">
        <f t="array" ref="N74">_xlfn.ANCHORARRAY('Results - B'!AC39)</f>
        <v>36</v>
      </c>
      <c r="O74" t="str">
        <v>Richard Harrison</v>
      </c>
      <c r="P74" s="1">
        <v>28</v>
      </c>
      <c r="Q74" s="4">
        <v>2.6458333333333334E-2</v>
      </c>
      <c r="R74" s="1">
        <v>13</v>
      </c>
      <c r="S74" s="1">
        <v>8</v>
      </c>
      <c r="T74" s="1">
        <v>21</v>
      </c>
    </row>
    <row r="75" spans="2:20" x14ac:dyDescent="0.2">
      <c r="B75" s="1" cm="1">
        <f t="array" ref="B75">_xlfn.ANCHORARRAY('Results - B'!A40)</f>
        <v>37</v>
      </c>
      <c r="C75" t="str">
        <v>Rob Cherry</v>
      </c>
      <c r="D75" s="1">
        <v>112</v>
      </c>
      <c r="F75" s="1" cm="1">
        <f t="array" ref="F75">_xlfn.ANCHORARRAY('Results - B'!U40)</f>
        <v>37</v>
      </c>
      <c r="G75" t="str">
        <v>Mark Stancombe</v>
      </c>
      <c r="H75" s="1">
        <v>38</v>
      </c>
      <c r="I75" s="4">
        <v>6.2476851851851853E-2</v>
      </c>
      <c r="J75" s="1">
        <v>3</v>
      </c>
      <c r="K75" s="1">
        <v>16</v>
      </c>
      <c r="L75" s="1">
        <v>19</v>
      </c>
      <c r="N75" s="1" cm="1">
        <f t="array" ref="N75">_xlfn.ANCHORARRAY('Results - B'!AC40)</f>
        <v>37</v>
      </c>
      <c r="O75" t="str">
        <v>Rob Cherry</v>
      </c>
      <c r="P75" s="1">
        <v>31</v>
      </c>
      <c r="Q75" s="4">
        <v>2.6932870370370371E-2</v>
      </c>
      <c r="R75" s="1">
        <v>10</v>
      </c>
      <c r="S75" s="1">
        <v>8</v>
      </c>
      <c r="T75" s="1">
        <v>18</v>
      </c>
    </row>
    <row r="76" spans="2:20" x14ac:dyDescent="0.2">
      <c r="B76" s="1" cm="1">
        <f t="array" ref="B76">_xlfn.ANCHORARRAY('Results - B'!A41)</f>
        <v>38</v>
      </c>
      <c r="C76" t="str">
        <v xml:space="preserve">Adam Currie </v>
      </c>
      <c r="D76" s="1">
        <v>97</v>
      </c>
      <c r="F76" s="1" cm="1">
        <f t="array" ref="F76">_xlfn.ANCHORARRAY('Results - B'!U41)</f>
        <v>38</v>
      </c>
      <c r="G76" t="str">
        <v>Olivier Baillet</v>
      </c>
      <c r="H76" s="1">
        <v>36</v>
      </c>
      <c r="I76" s="4">
        <v>6.2476851851851853E-2</v>
      </c>
      <c r="J76" s="1">
        <v>5</v>
      </c>
      <c r="K76" s="1">
        <v>8</v>
      </c>
      <c r="L76" s="1">
        <v>13</v>
      </c>
      <c r="N76" s="1" cm="1">
        <f t="array" ref="N76">_xlfn.ANCHORARRAY('Results - B'!AC41)</f>
        <v>38</v>
      </c>
      <c r="O76" t="str">
        <v>Harvey Jackson</v>
      </c>
      <c r="P76" s="1">
        <v>26</v>
      </c>
      <c r="Q76" s="4">
        <v>2.6192129629629631E-2</v>
      </c>
      <c r="R76" s="1">
        <v>0</v>
      </c>
      <c r="S76" s="1">
        <v>16</v>
      </c>
      <c r="T76" s="1">
        <v>16</v>
      </c>
    </row>
    <row r="77" spans="2:20" x14ac:dyDescent="0.2">
      <c r="B77" s="1" cm="1">
        <f t="array" ref="B77">_xlfn.ANCHORARRAY('Results - B'!A42)</f>
        <v>39</v>
      </c>
      <c r="C77" t="str">
        <v>Hans Stiles</v>
      </c>
      <c r="D77" s="1">
        <v>69</v>
      </c>
      <c r="F77" s="1" cm="1">
        <f t="array" ref="F77">_xlfn.ANCHORARRAY('Results - B'!U42)</f>
        <v>39</v>
      </c>
      <c r="G77" t="str">
        <v>Hans Stiles</v>
      </c>
      <c r="H77" s="1">
        <v>39</v>
      </c>
      <c r="I77" s="4">
        <v>6.2476851851851853E-2</v>
      </c>
      <c r="J77" s="1">
        <v>2</v>
      </c>
      <c r="K77" s="1">
        <v>8</v>
      </c>
      <c r="L77" s="1">
        <v>10</v>
      </c>
      <c r="N77" s="1" cm="1">
        <f t="array" ref="N77">_xlfn.ANCHORARRAY('Results - B'!AC42)</f>
        <v>39</v>
      </c>
      <c r="O77" t="str">
        <v>Olivier Baillet</v>
      </c>
      <c r="P77" s="1">
        <v>37</v>
      </c>
      <c r="Q77" s="4">
        <v>3.4953703703703702E-2</v>
      </c>
      <c r="R77" s="1">
        <v>4</v>
      </c>
      <c r="S77" s="1">
        <v>8</v>
      </c>
      <c r="T77" s="1">
        <v>12</v>
      </c>
    </row>
    <row r="78" spans="2:20" x14ac:dyDescent="0.2">
      <c r="B78" s="1" cm="1">
        <f t="array" ref="B78">_xlfn.ANCHORARRAY('Results - B'!A43)</f>
        <v>40</v>
      </c>
      <c r="C78" t="str">
        <v>Olivier Baillet</v>
      </c>
      <c r="D78" s="1">
        <v>62</v>
      </c>
      <c r="F78" s="1" cm="1">
        <f t="array" ref="F78">_xlfn.ANCHORARRAY('Results - B'!U43)</f>
        <v>40</v>
      </c>
      <c r="G78" t="str">
        <v xml:space="preserve">Adam Currie </v>
      </c>
      <c r="H78" s="1">
        <v>37</v>
      </c>
      <c r="I78" s="4">
        <v>6.2476851851851853E-2</v>
      </c>
      <c r="J78" s="1">
        <v>4</v>
      </c>
      <c r="K78" s="1">
        <v>0</v>
      </c>
      <c r="L78" s="1">
        <v>4</v>
      </c>
      <c r="N78" s="1" cm="1">
        <f t="array" ref="N78">_xlfn.ANCHORARRAY('Results - B'!AC43)</f>
        <v>40</v>
      </c>
      <c r="O78" t="str">
        <v>Hans Stiles</v>
      </c>
      <c r="P78" s="1">
        <v>39</v>
      </c>
      <c r="Q78" s="4">
        <v>3.4953703703703702E-2</v>
      </c>
      <c r="R78" s="1">
        <v>2</v>
      </c>
      <c r="S78" s="1">
        <v>8</v>
      </c>
      <c r="T78" s="1">
        <v>10</v>
      </c>
    </row>
    <row r="79" spans="2:20" x14ac:dyDescent="0.2">
      <c r="F79" s="1"/>
    </row>
    <row r="80" spans="2:20" ht="20" thickBot="1" x14ac:dyDescent="0.3">
      <c r="B80" s="22" t="s">
        <v>97</v>
      </c>
      <c r="C80" s="22"/>
      <c r="D80" s="22"/>
      <c r="F80" s="22" t="s">
        <v>117</v>
      </c>
      <c r="G80" s="22"/>
      <c r="H80" s="22"/>
      <c r="I80" s="22"/>
      <c r="J80" s="22"/>
      <c r="K80" s="22"/>
      <c r="L80" s="22"/>
      <c r="N80" s="22" t="s">
        <v>118</v>
      </c>
      <c r="O80" s="22"/>
      <c r="P80" s="22"/>
      <c r="Q80" s="22"/>
      <c r="R80" s="22"/>
      <c r="S80" s="22"/>
      <c r="T80" s="22"/>
    </row>
    <row r="81" spans="2:20" x14ac:dyDescent="0.2">
      <c r="B81" s="3" t="s">
        <v>23</v>
      </c>
      <c r="C81" s="7" t="s">
        <v>24</v>
      </c>
      <c r="D81" s="3" t="s">
        <v>27</v>
      </c>
      <c r="E81" s="3"/>
      <c r="F81" s="3" t="s">
        <v>44</v>
      </c>
      <c r="G81" s="7" t="s">
        <v>24</v>
      </c>
      <c r="H81" s="3" t="s">
        <v>45</v>
      </c>
      <c r="I81" s="9" t="s">
        <v>25</v>
      </c>
      <c r="J81" s="3" t="s">
        <v>46</v>
      </c>
      <c r="K81" s="3" t="s">
        <v>33</v>
      </c>
      <c r="L81" s="3" t="s">
        <v>26</v>
      </c>
      <c r="N81" s="3" t="s">
        <v>44</v>
      </c>
      <c r="O81" s="7" t="s">
        <v>24</v>
      </c>
      <c r="P81" s="3" t="s">
        <v>45</v>
      </c>
      <c r="Q81" s="9" t="s">
        <v>25</v>
      </c>
      <c r="R81" s="3" t="s">
        <v>46</v>
      </c>
      <c r="S81" s="3" t="s">
        <v>33</v>
      </c>
      <c r="T81" s="3" t="s">
        <v>26</v>
      </c>
    </row>
    <row r="82" spans="2:20" ht="7" customHeight="1" x14ac:dyDescent="0.2">
      <c r="P82" s="1"/>
      <c r="Q82" s="4"/>
      <c r="R82" s="1"/>
      <c r="S82" s="1"/>
      <c r="T82" s="1"/>
    </row>
    <row r="83" spans="2:20" x14ac:dyDescent="0.2">
      <c r="B83" s="1" cm="1">
        <f t="array" ref="B83">_xlfn.ANCHORARRAY('Results - W'!A4)</f>
        <v>1</v>
      </c>
      <c r="C83" t="str" cm="1">
        <f t="array" ref="C83:D89">_xlfn.ANCHORARRAY('Results - W'!B4)</f>
        <v>Alessandra Scaduto</v>
      </c>
      <c r="D83" s="1">
        <v>34</v>
      </c>
      <c r="F83" s="1" cm="1">
        <f t="array" ref="F83">_xlfn.ANCHORARRAY('Results - W'!U4)</f>
        <v>1</v>
      </c>
      <c r="G83" t="str" cm="1">
        <f t="array" ref="G83:L89">_xlfn.ANCHORARRAY('Results - W'!V4)</f>
        <v>Alessandra Scaduto</v>
      </c>
      <c r="H83" s="1">
        <v>4</v>
      </c>
      <c r="I83" s="4">
        <v>4.2418981481481481E-2</v>
      </c>
      <c r="J83" s="1">
        <v>3</v>
      </c>
      <c r="K83" s="1">
        <v>4</v>
      </c>
      <c r="L83" s="1">
        <v>7</v>
      </c>
      <c r="N83" s="1" cm="1">
        <f t="array" ref="N83">_xlfn.ANCHORARRAY('Results - W'!AC4)</f>
        <v>1</v>
      </c>
      <c r="O83" t="str" cm="1">
        <f t="array" ref="O83:T89">_xlfn.ANCHORARRAY('Results - W'!AD4)</f>
        <v>Alessandra Scaduto</v>
      </c>
      <c r="P83" s="1">
        <v>4</v>
      </c>
      <c r="Q83" s="4">
        <v>2.6087962962962962E-2</v>
      </c>
      <c r="R83" s="1">
        <v>3</v>
      </c>
      <c r="S83" s="1">
        <v>4</v>
      </c>
      <c r="T83" s="1">
        <v>7</v>
      </c>
    </row>
    <row r="84" spans="2:20" x14ac:dyDescent="0.2">
      <c r="B84" s="1" cm="1">
        <f t="array" ref="B84">_xlfn.ANCHORARRAY('Results - W'!A5)</f>
        <v>1</v>
      </c>
      <c r="C84" t="str">
        <v>Laura McMullen</v>
      </c>
      <c r="D84" s="1">
        <v>34</v>
      </c>
      <c r="F84" s="1" cm="1">
        <f t="array" ref="F84">_xlfn.ANCHORARRAY('Results - W'!U5)</f>
        <v>1</v>
      </c>
      <c r="G84" t="str">
        <v>Alex Joss</v>
      </c>
      <c r="H84" s="1">
        <v>2</v>
      </c>
      <c r="I84" s="4">
        <v>3.6423611111111108E-2</v>
      </c>
      <c r="J84" s="1">
        <v>5</v>
      </c>
      <c r="K84" s="1">
        <v>2</v>
      </c>
      <c r="L84" s="1">
        <v>7</v>
      </c>
      <c r="N84" s="1" cm="1">
        <f t="array" ref="N84">_xlfn.ANCHORARRAY('Results - W'!AC5)</f>
        <v>1</v>
      </c>
      <c r="O84" t="str">
        <v>Alex Wilson-Jones</v>
      </c>
      <c r="P84" s="1">
        <v>2</v>
      </c>
      <c r="Q84" s="4">
        <v>2.4328703703703703E-2</v>
      </c>
      <c r="R84" s="1">
        <v>5</v>
      </c>
      <c r="S84" s="1">
        <v>2</v>
      </c>
      <c r="T84" s="1">
        <v>7</v>
      </c>
    </row>
    <row r="85" spans="2:20" x14ac:dyDescent="0.2">
      <c r="B85" s="1" cm="1">
        <f t="array" ref="B85">_xlfn.ANCHORARRAY('Results - W'!A6)</f>
        <v>3</v>
      </c>
      <c r="C85" t="str">
        <v>Alex Wilson-Jones</v>
      </c>
      <c r="D85" s="1">
        <v>33</v>
      </c>
      <c r="F85" s="1" cm="1">
        <f t="array" ref="F85">_xlfn.ANCHORARRAY('Results - W'!U6)</f>
        <v>1</v>
      </c>
      <c r="G85" t="str">
        <v>Laura McMullen</v>
      </c>
      <c r="H85" s="1">
        <v>1</v>
      </c>
      <c r="I85" s="4">
        <v>3.5428240740740739E-2</v>
      </c>
      <c r="J85" s="1">
        <v>6</v>
      </c>
      <c r="K85" s="1">
        <v>1</v>
      </c>
      <c r="L85" s="1">
        <v>7</v>
      </c>
      <c r="N85" s="1" cm="1">
        <f t="array" ref="N85">_xlfn.ANCHORARRAY('Results - W'!AC6)</f>
        <v>1</v>
      </c>
      <c r="O85" t="str">
        <v>Laura McMullen</v>
      </c>
      <c r="P85" s="1">
        <v>1</v>
      </c>
      <c r="Q85" s="4">
        <v>2.4155092592592593E-2</v>
      </c>
      <c r="R85" s="1">
        <v>6</v>
      </c>
      <c r="S85" s="1">
        <v>1</v>
      </c>
      <c r="T85" s="1">
        <v>7</v>
      </c>
    </row>
    <row r="86" spans="2:20" x14ac:dyDescent="0.2">
      <c r="B86" s="1" cm="1">
        <f t="array" ref="B86">_xlfn.ANCHORARRAY('Results - W'!A7)</f>
        <v>4</v>
      </c>
      <c r="C86" t="str">
        <v>Alex Joss</v>
      </c>
      <c r="D86" s="1">
        <v>32</v>
      </c>
      <c r="F86" s="1" cm="1">
        <f t="array" ref="F86">_xlfn.ANCHORARRAY('Results - W'!U7)</f>
        <v>4</v>
      </c>
      <c r="G86" t="str">
        <v>Alex Wilson-Jones</v>
      </c>
      <c r="H86" s="1">
        <v>3</v>
      </c>
      <c r="I86" s="4">
        <v>3.784722222222222E-2</v>
      </c>
      <c r="J86" s="1">
        <v>4</v>
      </c>
      <c r="K86" s="1">
        <v>2</v>
      </c>
      <c r="L86" s="1">
        <v>6</v>
      </c>
      <c r="N86" s="1" cm="1">
        <f t="array" ref="N86">_xlfn.ANCHORARRAY('Results - W'!AC7)</f>
        <v>4</v>
      </c>
      <c r="O86" t="str">
        <v>Alex Joss</v>
      </c>
      <c r="P86" s="1">
        <v>3</v>
      </c>
      <c r="Q86" s="4">
        <v>2.4479166666666666E-2</v>
      </c>
      <c r="R86" s="1">
        <v>4</v>
      </c>
      <c r="S86" s="1">
        <v>2</v>
      </c>
      <c r="T86" s="1">
        <v>6</v>
      </c>
    </row>
    <row r="87" spans="2:20" x14ac:dyDescent="0.2">
      <c r="B87" s="1" cm="1">
        <f t="array" ref="B87">_xlfn.ANCHORARRAY('Results - W'!A8)</f>
        <v>5</v>
      </c>
      <c r="C87" t="str">
        <v>Alexandra Chuchu</v>
      </c>
      <c r="D87" s="1">
        <v>29</v>
      </c>
      <c r="F87" s="1" cm="1">
        <f t="array" ref="F87">_xlfn.ANCHORARRAY('Results - W'!U8)</f>
        <v>4</v>
      </c>
      <c r="G87" t="str">
        <v>Phoebe Macwhinnie</v>
      </c>
      <c r="H87" s="1">
        <v>5</v>
      </c>
      <c r="I87" s="4">
        <v>4.3668981481481482E-2</v>
      </c>
      <c r="J87" s="1">
        <v>2</v>
      </c>
      <c r="K87" s="1">
        <v>4</v>
      </c>
      <c r="L87" s="1">
        <v>6</v>
      </c>
      <c r="N87" s="1" cm="1">
        <f t="array" ref="N87">_xlfn.ANCHORARRAY('Results - W'!AC8)</f>
        <v>4</v>
      </c>
      <c r="O87" t="str">
        <v>Phoebe Macwhinnie</v>
      </c>
      <c r="P87" s="1">
        <v>5</v>
      </c>
      <c r="Q87" s="4">
        <v>2.7002314814814816E-2</v>
      </c>
      <c r="R87" s="1">
        <v>2</v>
      </c>
      <c r="S87" s="1">
        <v>4</v>
      </c>
      <c r="T87" s="1">
        <v>6</v>
      </c>
    </row>
    <row r="88" spans="2:20" x14ac:dyDescent="0.2">
      <c r="B88" s="1" cm="1">
        <f t="array" ref="B88">_xlfn.ANCHORARRAY('Results - W'!A9)</f>
        <v>6</v>
      </c>
      <c r="C88" t="str">
        <v>Phoebe Macwhinnie</v>
      </c>
      <c r="D88" s="1">
        <v>26</v>
      </c>
      <c r="F88" s="1" cm="1">
        <f t="array" ref="F88">_xlfn.ANCHORARRAY('Results - W'!U9)</f>
        <v>6</v>
      </c>
      <c r="G88" t="str">
        <v>Alexandra Chuchu</v>
      </c>
      <c r="H88" s="1">
        <v>6</v>
      </c>
      <c r="I88" s="4">
        <v>4.4270833333333336E-2</v>
      </c>
      <c r="J88" s="1">
        <v>1</v>
      </c>
      <c r="K88" s="1">
        <v>4</v>
      </c>
      <c r="L88" s="1">
        <v>5</v>
      </c>
      <c r="N88" s="1" cm="1">
        <f t="array" ref="N88">_xlfn.ANCHORARRAY('Results - W'!AC9)</f>
        <v>6</v>
      </c>
      <c r="O88" t="str">
        <v>Alexandra Chuchu</v>
      </c>
      <c r="P88" s="1">
        <v>6</v>
      </c>
      <c r="Q88" s="4">
        <v>2.7488425925925927E-2</v>
      </c>
      <c r="R88" s="1">
        <v>1</v>
      </c>
      <c r="S88" s="1">
        <v>4</v>
      </c>
      <c r="T88" s="1">
        <v>5</v>
      </c>
    </row>
    <row r="89" spans="2:20" x14ac:dyDescent="0.2">
      <c r="B89" s="1" cm="1">
        <f t="array" ref="B89">_xlfn.ANCHORARRAY('Results - W'!A10)</f>
        <v>7</v>
      </c>
      <c r="C89" t="str">
        <v>Patricia Vilar</v>
      </c>
      <c r="D89" s="1">
        <v>21</v>
      </c>
      <c r="F89" s="1" cm="1">
        <f t="array" ref="F89">_xlfn.ANCHORARRAY('Results - W'!U10)</f>
        <v>7</v>
      </c>
      <c r="G89" t="str">
        <v>Patricia Vilar</v>
      </c>
      <c r="H89" s="1">
        <v>7</v>
      </c>
      <c r="I89" s="4">
        <v>4.4849537037037035E-2</v>
      </c>
      <c r="J89" s="1">
        <v>0</v>
      </c>
      <c r="K89" s="1">
        <v>4</v>
      </c>
      <c r="L89" s="1">
        <v>4</v>
      </c>
      <c r="N89" s="1" cm="1">
        <f t="array" ref="N89">_xlfn.ANCHORARRAY('Results - W'!AC10)</f>
        <v>7</v>
      </c>
      <c r="O89" t="str">
        <v>Patricia Vilar</v>
      </c>
      <c r="P89" s="1">
        <v>7</v>
      </c>
      <c r="Q89" s="4">
        <v>2.8078703703703703E-2</v>
      </c>
      <c r="R89" s="1">
        <v>0</v>
      </c>
      <c r="S89" s="1">
        <v>4</v>
      </c>
      <c r="T89" s="1">
        <v>4</v>
      </c>
    </row>
    <row r="90" spans="2:20" x14ac:dyDescent="0.2">
      <c r="B90" s="1" t="str" cm="1">
        <f t="array" ref="B90">_xlfn.ANCHORARRAY('Results - W'!A11)</f>
        <v/>
      </c>
    </row>
  </sheetData>
  <mergeCells count="9">
    <mergeCell ref="N5:T5"/>
    <mergeCell ref="N36:T36"/>
    <mergeCell ref="N80:T80"/>
    <mergeCell ref="B5:D5"/>
    <mergeCell ref="F5:L5"/>
    <mergeCell ref="B36:D36"/>
    <mergeCell ref="F36:L36"/>
    <mergeCell ref="B80:D80"/>
    <mergeCell ref="F80:L80"/>
  </mergeCells>
  <printOptions horizontalCentered="1" verticalCentered="1"/>
  <pageMargins left="0.5" right="0.5" top="0.75" bottom="0.75" header="0.3" footer="0.3"/>
  <pageSetup paperSize="9" scale="41" orientation="portrait" horizontalDpi="0" verticalDpi="0"/>
  <headerFooter>
    <oddFooter>&amp;R&amp;"Calibri,Regular"&amp;K000000&amp;D &amp;T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1284-4107-3040-BD12-4EC15C0F2984}">
  <sheetPr>
    <pageSetUpPr fitToPage="1"/>
  </sheetPr>
  <dimension ref="B1:L90"/>
  <sheetViews>
    <sheetView tabSelected="1" topLeftCell="A75" workbookViewId="0">
      <selection activeCell="N92" sqref="N92"/>
    </sheetView>
  </sheetViews>
  <sheetFormatPr baseColWidth="10" defaultRowHeight="15" x14ac:dyDescent="0.2"/>
  <cols>
    <col min="1" max="1" width="3.5" customWidth="1"/>
    <col min="2" max="2" width="9" style="1" customWidth="1"/>
    <col min="3" max="3" width="19.33203125" bestFit="1" customWidth="1"/>
    <col min="4" max="4" width="10.83203125" style="1"/>
    <col min="5" max="5" width="6.33203125" customWidth="1"/>
    <col min="6" max="6" width="7" customWidth="1"/>
    <col min="7" max="7" width="21.33203125" customWidth="1"/>
    <col min="8" max="8" width="5.6640625" style="1" customWidth="1"/>
    <col min="9" max="9" width="10.83203125" style="4"/>
    <col min="10" max="12" width="10" style="1" customWidth="1"/>
  </cols>
  <sheetData>
    <row r="1" spans="2:12" ht="21" x14ac:dyDescent="0.25">
      <c r="B1" s="11" t="s">
        <v>92</v>
      </c>
    </row>
    <row r="2" spans="2:12" ht="7" customHeight="1" x14ac:dyDescent="0.25">
      <c r="B2" s="11"/>
    </row>
    <row r="3" spans="2:12" ht="21" x14ac:dyDescent="0.25">
      <c r="B3" s="11" t="s">
        <v>124</v>
      </c>
    </row>
    <row r="4" spans="2:12" ht="11" customHeight="1" x14ac:dyDescent="0.2"/>
    <row r="5" spans="2:12" ht="20" thickBot="1" x14ac:dyDescent="0.3">
      <c r="B5" s="22" t="s">
        <v>88</v>
      </c>
      <c r="C5" s="22"/>
      <c r="D5" s="22"/>
      <c r="F5" s="22" t="s">
        <v>125</v>
      </c>
      <c r="G5" s="22"/>
      <c r="H5" s="22"/>
      <c r="I5" s="22"/>
      <c r="J5" s="22"/>
      <c r="K5" s="22"/>
      <c r="L5" s="22"/>
    </row>
    <row r="6" spans="2:12" x14ac:dyDescent="0.2">
      <c r="B6" s="3" t="s">
        <v>23</v>
      </c>
      <c r="C6" s="7" t="s">
        <v>24</v>
      </c>
      <c r="D6" s="3" t="s">
        <v>27</v>
      </c>
      <c r="E6" s="3"/>
      <c r="F6" s="3" t="s">
        <v>44</v>
      </c>
      <c r="G6" s="7" t="s">
        <v>24</v>
      </c>
      <c r="H6" s="3" t="s">
        <v>45</v>
      </c>
      <c r="I6" s="9" t="s">
        <v>25</v>
      </c>
      <c r="J6" s="3" t="s">
        <v>46</v>
      </c>
      <c r="K6" s="3" t="s">
        <v>33</v>
      </c>
      <c r="L6" s="3" t="s">
        <v>26</v>
      </c>
    </row>
    <row r="7" spans="2:12" ht="7" customHeight="1" x14ac:dyDescent="0.2">
      <c r="B7" s="3"/>
      <c r="C7" s="3"/>
      <c r="D7" s="3"/>
      <c r="E7" s="3"/>
      <c r="F7" s="3"/>
      <c r="G7" s="3"/>
      <c r="H7" s="3"/>
      <c r="I7" s="9"/>
      <c r="J7" s="3"/>
      <c r="K7" s="3"/>
      <c r="L7" s="3"/>
    </row>
    <row r="8" spans="2:12" x14ac:dyDescent="0.2">
      <c r="B8" s="1" cm="1">
        <f t="array" ref="B8">_xlfn.ANCHORARRAY('Results - A'!A4)</f>
        <v>1</v>
      </c>
      <c r="C8" t="str" cm="1">
        <f t="array" ref="C8:D34">_xlfn.ANCHORARRAY('Results - A'!B4)</f>
        <v>Henrik Persson</v>
      </c>
      <c r="D8" s="1">
        <v>150</v>
      </c>
      <c r="F8" s="1" cm="1">
        <f t="array" ref="F8">_xlfn.ANCHORARRAY('Results - A'!AK4)</f>
        <v>1</v>
      </c>
      <c r="G8" t="str" cm="1">
        <f t="array" ref="G8:L34">_xlfn.ANCHORARRAY('Results - A'!AL4)</f>
        <v>Henrik Persson</v>
      </c>
      <c r="H8" s="1">
        <v>5</v>
      </c>
      <c r="I8" s="4">
        <v>4.2048611111111113E-2</v>
      </c>
      <c r="J8" s="1">
        <v>26</v>
      </c>
      <c r="K8" s="1">
        <v>6</v>
      </c>
      <c r="L8" s="1">
        <v>30</v>
      </c>
    </row>
    <row r="9" spans="2:12" x14ac:dyDescent="0.2">
      <c r="B9" s="1" cm="1">
        <f t="array" ref="B9">_xlfn.ANCHORARRAY('Results - A'!A5)</f>
        <v>1</v>
      </c>
      <c r="C9" t="str">
        <v>Matt de Freitas</v>
      </c>
      <c r="D9" s="1">
        <v>150</v>
      </c>
      <c r="F9" s="1" cm="1">
        <f t="array" ref="F9">_xlfn.ANCHORARRAY('Results - A'!AK5)</f>
        <v>1</v>
      </c>
      <c r="G9" t="str">
        <v>Matt de Freitas</v>
      </c>
      <c r="H9" s="1">
        <v>3</v>
      </c>
      <c r="I9" s="4">
        <v>4.1921296296296297E-2</v>
      </c>
      <c r="J9" s="1">
        <v>28</v>
      </c>
      <c r="K9" s="1">
        <v>6</v>
      </c>
      <c r="L9" s="1">
        <v>30</v>
      </c>
    </row>
    <row r="10" spans="2:12" x14ac:dyDescent="0.2">
      <c r="B10" s="1" cm="1">
        <f t="array" ref="B10">_xlfn.ANCHORARRAY('Results - A'!A6)</f>
        <v>3</v>
      </c>
      <c r="C10" t="str">
        <v>Judah Rand</v>
      </c>
      <c r="D10" s="1">
        <v>147</v>
      </c>
      <c r="F10" s="1" cm="1">
        <f t="array" ref="F10">_xlfn.ANCHORARRAY('Results - A'!AK6)</f>
        <v>1</v>
      </c>
      <c r="G10" t="str">
        <v>Tom Kennett</v>
      </c>
      <c r="H10" s="1">
        <v>1</v>
      </c>
      <c r="I10" s="4">
        <v>4.1215277777777781E-2</v>
      </c>
      <c r="J10" s="1">
        <v>30</v>
      </c>
      <c r="K10" s="1">
        <v>0</v>
      </c>
      <c r="L10" s="1">
        <v>30</v>
      </c>
    </row>
    <row r="11" spans="2:12" x14ac:dyDescent="0.2">
      <c r="B11" s="1" cm="1">
        <f t="array" ref="B11">_xlfn.ANCHORARRAY('Results - A'!A7)</f>
        <v>4</v>
      </c>
      <c r="C11" t="str">
        <v>Tom Herbert</v>
      </c>
      <c r="D11" s="1">
        <v>143</v>
      </c>
      <c r="F11" s="1" cm="1">
        <f t="array" ref="F11">_xlfn.ANCHORARRAY('Results - A'!AK7)</f>
        <v>4</v>
      </c>
      <c r="G11" t="str">
        <v>James Bowden</v>
      </c>
      <c r="H11" s="1">
        <v>14</v>
      </c>
      <c r="I11" s="4">
        <v>4.5231481481481484E-2</v>
      </c>
      <c r="J11" s="1">
        <v>17</v>
      </c>
      <c r="K11" s="1">
        <v>12</v>
      </c>
      <c r="L11" s="1">
        <v>29</v>
      </c>
    </row>
    <row r="12" spans="2:12" x14ac:dyDescent="0.2">
      <c r="B12" s="1" cm="1">
        <f t="array" ref="B12">_xlfn.ANCHORARRAY('Results - A'!A8)</f>
        <v>5</v>
      </c>
      <c r="C12" t="str">
        <v>Neil Grunshaw</v>
      </c>
      <c r="D12" s="1">
        <v>141</v>
      </c>
      <c r="F12" s="1" cm="1">
        <f t="array" ref="F12">_xlfn.ANCHORARRAY('Results - A'!AK8)</f>
        <v>4</v>
      </c>
      <c r="G12" t="str">
        <v>Judah Rand</v>
      </c>
      <c r="H12" s="1">
        <v>2</v>
      </c>
      <c r="I12" s="4">
        <v>4.1724537037037039E-2</v>
      </c>
      <c r="J12" s="1">
        <v>29</v>
      </c>
      <c r="K12" s="1">
        <v>0</v>
      </c>
      <c r="L12" s="1">
        <v>29</v>
      </c>
    </row>
    <row r="13" spans="2:12" x14ac:dyDescent="0.2">
      <c r="B13" s="1" cm="1">
        <f t="array" ref="B13">_xlfn.ANCHORARRAY('Results - A'!A9)</f>
        <v>5</v>
      </c>
      <c r="C13" t="str">
        <v>Tom Kennett</v>
      </c>
      <c r="D13" s="1">
        <v>141</v>
      </c>
      <c r="F13" s="1" cm="1">
        <f t="array" ref="F13">_xlfn.ANCHORARRAY('Results - A'!AK9)</f>
        <v>4</v>
      </c>
      <c r="G13" t="str">
        <v>Neil Grunshaw</v>
      </c>
      <c r="H13" s="1">
        <v>8</v>
      </c>
      <c r="I13" s="4">
        <v>4.3252314814814813E-2</v>
      </c>
      <c r="J13" s="1">
        <v>23</v>
      </c>
      <c r="K13" s="1">
        <v>6</v>
      </c>
      <c r="L13" s="1">
        <v>29</v>
      </c>
    </row>
    <row r="14" spans="2:12" x14ac:dyDescent="0.2">
      <c r="B14" s="1" cm="1">
        <f t="array" ref="B14">_xlfn.ANCHORARRAY('Results - A'!A10)</f>
        <v>7</v>
      </c>
      <c r="C14" t="str">
        <v>David Wong</v>
      </c>
      <c r="D14" s="1">
        <v>139</v>
      </c>
      <c r="F14" s="1" cm="1">
        <f t="array" ref="F14">_xlfn.ANCHORARRAY('Results - A'!AK10)</f>
        <v>7</v>
      </c>
      <c r="G14" t="str">
        <v>Alex Robertson</v>
      </c>
      <c r="H14" s="1">
        <v>15</v>
      </c>
      <c r="I14" s="4">
        <v>4.5254629629629631E-2</v>
      </c>
      <c r="J14" s="1">
        <v>16</v>
      </c>
      <c r="K14" s="1">
        <v>12</v>
      </c>
      <c r="L14" s="1">
        <v>28</v>
      </c>
    </row>
    <row r="15" spans="2:12" x14ac:dyDescent="0.2">
      <c r="B15" s="1" cm="1">
        <f t="array" ref="B15">_xlfn.ANCHORARRAY('Results - A'!A11)</f>
        <v>8</v>
      </c>
      <c r="C15" t="str">
        <v>Chris Jenkins</v>
      </c>
      <c r="D15" s="1">
        <v>138</v>
      </c>
      <c r="F15" s="1" cm="1">
        <f t="array" ref="F15">_xlfn.ANCHORARRAY('Results - A'!AK11)</f>
        <v>7</v>
      </c>
      <c r="G15" t="str">
        <v>Tom Herbert</v>
      </c>
      <c r="H15" s="1">
        <v>9</v>
      </c>
      <c r="I15" s="4">
        <v>4.4155092592592593E-2</v>
      </c>
      <c r="J15" s="1">
        <v>22</v>
      </c>
      <c r="K15" s="1">
        <v>6</v>
      </c>
      <c r="L15" s="1">
        <v>28</v>
      </c>
    </row>
    <row r="16" spans="2:12" x14ac:dyDescent="0.2">
      <c r="B16" s="1" cm="1">
        <f t="array" ref="B16">_xlfn.ANCHORARRAY('Results - A'!A12)</f>
        <v>8</v>
      </c>
      <c r="C16" t="str">
        <v>Neal Beauchamp</v>
      </c>
      <c r="D16" s="1">
        <v>138</v>
      </c>
      <c r="F16" s="1" cm="1">
        <f t="array" ref="F16">_xlfn.ANCHORARRAY('Results - A'!AK12)</f>
        <v>9</v>
      </c>
      <c r="G16" t="str">
        <v>David Wong</v>
      </c>
      <c r="H16" s="1">
        <v>16</v>
      </c>
      <c r="I16" s="4">
        <v>4.5289351851851851E-2</v>
      </c>
      <c r="J16" s="1">
        <v>15</v>
      </c>
      <c r="K16" s="1">
        <v>12</v>
      </c>
      <c r="L16" s="1">
        <v>27</v>
      </c>
    </row>
    <row r="17" spans="2:12" x14ac:dyDescent="0.2">
      <c r="B17" s="1" cm="1">
        <f t="array" ref="B17">_xlfn.ANCHORARRAY('Results - A'!A13)</f>
        <v>8</v>
      </c>
      <c r="C17" t="str">
        <v>Seb Ashton</v>
      </c>
      <c r="D17" s="1">
        <v>138</v>
      </c>
      <c r="F17" s="1" cm="1">
        <f t="array" ref="F17">_xlfn.ANCHORARRAY('Results - A'!AK13)</f>
        <v>9</v>
      </c>
      <c r="G17" t="str">
        <v>Jonny Bodey</v>
      </c>
      <c r="H17" s="1">
        <v>10</v>
      </c>
      <c r="I17" s="4">
        <v>4.4467592592592593E-2</v>
      </c>
      <c r="J17" s="1">
        <v>21</v>
      </c>
      <c r="K17" s="1">
        <v>6</v>
      </c>
      <c r="L17" s="1">
        <v>27</v>
      </c>
    </row>
    <row r="18" spans="2:12" x14ac:dyDescent="0.2">
      <c r="B18" s="1" cm="1">
        <f t="array" ref="B18">_xlfn.ANCHORARRAY('Results - A'!A14)</f>
        <v>11</v>
      </c>
      <c r="C18" t="str">
        <v>James Bowden</v>
      </c>
      <c r="D18" s="1">
        <v>134</v>
      </c>
      <c r="F18" s="1" cm="1">
        <f t="array" ref="F18">_xlfn.ANCHORARRAY('Results - A'!AK14)</f>
        <v>9</v>
      </c>
      <c r="G18" t="str">
        <v>Seb Ashton</v>
      </c>
      <c r="H18" s="1">
        <v>4</v>
      </c>
      <c r="I18" s="4">
        <v>4.1921296296296297E-2</v>
      </c>
      <c r="J18" s="1">
        <v>27</v>
      </c>
      <c r="K18" s="1">
        <v>0</v>
      </c>
      <c r="L18" s="1">
        <v>27</v>
      </c>
    </row>
    <row r="19" spans="2:12" x14ac:dyDescent="0.2">
      <c r="B19" s="1" cm="1">
        <f t="array" ref="B19">_xlfn.ANCHORARRAY('Results - A'!A15)</f>
        <v>12</v>
      </c>
      <c r="C19" t="str">
        <v>Raif Oz</v>
      </c>
      <c r="D19" s="1">
        <v>129</v>
      </c>
      <c r="F19" s="1" cm="1">
        <f t="array" ref="F19">_xlfn.ANCHORARRAY('Results - A'!AK15)</f>
        <v>12</v>
      </c>
      <c r="G19" t="str">
        <v>Gordon Reid</v>
      </c>
      <c r="H19" s="1">
        <v>17</v>
      </c>
      <c r="I19" s="4">
        <v>4.5717592592592594E-2</v>
      </c>
      <c r="J19" s="1">
        <v>14</v>
      </c>
      <c r="K19" s="1">
        <v>12</v>
      </c>
      <c r="L19" s="1">
        <v>26</v>
      </c>
    </row>
    <row r="20" spans="2:12" x14ac:dyDescent="0.2">
      <c r="B20" s="1" cm="1">
        <f t="array" ref="B20">_xlfn.ANCHORARRAY('Results - A'!A16)</f>
        <v>13</v>
      </c>
      <c r="C20" t="str">
        <v>Alex Robertson</v>
      </c>
      <c r="D20" s="1">
        <v>128</v>
      </c>
      <c r="F20" s="1" cm="1">
        <f t="array" ref="F20">_xlfn.ANCHORARRAY('Results - A'!AK16)</f>
        <v>12</v>
      </c>
      <c r="G20" t="str">
        <v>Neal Beauchamp</v>
      </c>
      <c r="H20" s="1">
        <v>11</v>
      </c>
      <c r="I20" s="4">
        <v>4.462962962962963E-2</v>
      </c>
      <c r="J20" s="1">
        <v>20</v>
      </c>
      <c r="K20" s="1">
        <v>6</v>
      </c>
      <c r="L20" s="1">
        <v>26</v>
      </c>
    </row>
    <row r="21" spans="2:12" x14ac:dyDescent="0.2">
      <c r="B21" s="1" cm="1">
        <f t="array" ref="B21">_xlfn.ANCHORARRAY('Results - A'!A17)</f>
        <v>13</v>
      </c>
      <c r="C21" t="str">
        <v>Denis Whelan</v>
      </c>
      <c r="D21" s="1">
        <v>128</v>
      </c>
      <c r="F21" s="1" cm="1">
        <f t="array" ref="F21">_xlfn.ANCHORARRAY('Results - A'!AK17)</f>
        <v>14</v>
      </c>
      <c r="G21" t="str">
        <v>Alex Tate</v>
      </c>
      <c r="H21" s="1">
        <v>18</v>
      </c>
      <c r="I21" s="4">
        <v>4.5740740740740742E-2</v>
      </c>
      <c r="J21" s="1">
        <v>13</v>
      </c>
      <c r="K21" s="1">
        <v>12</v>
      </c>
      <c r="L21" s="1">
        <v>25</v>
      </c>
    </row>
    <row r="22" spans="2:12" x14ac:dyDescent="0.2">
      <c r="B22" s="1" cm="1">
        <f t="array" ref="B22">_xlfn.ANCHORARRAY('Results - A'!A18)</f>
        <v>15</v>
      </c>
      <c r="C22" t="str">
        <v>Eamon Mason</v>
      </c>
      <c r="D22" s="1">
        <v>125</v>
      </c>
      <c r="F22" s="1" cm="1">
        <f t="array" ref="F22">_xlfn.ANCHORARRAY('Results - A'!AK18)</f>
        <v>14</v>
      </c>
      <c r="G22" t="str">
        <v>Chris Jenkins</v>
      </c>
      <c r="H22" s="1">
        <v>12</v>
      </c>
      <c r="I22" s="4">
        <v>4.4837962962962961E-2</v>
      </c>
      <c r="J22" s="1">
        <v>19</v>
      </c>
      <c r="K22" s="1">
        <v>6</v>
      </c>
      <c r="L22" s="1">
        <v>25</v>
      </c>
    </row>
    <row r="23" spans="2:12" x14ac:dyDescent="0.2">
      <c r="B23" s="1" cm="1">
        <f t="array" ref="B23">_xlfn.ANCHORARRAY('Results - A'!A19)</f>
        <v>16</v>
      </c>
      <c r="C23" t="str">
        <v>Alex Tate</v>
      </c>
      <c r="D23" s="1">
        <v>122</v>
      </c>
      <c r="F23" s="1" cm="1">
        <f t="array" ref="F23">_xlfn.ANCHORARRAY('Results - A'!AK19)</f>
        <v>14</v>
      </c>
      <c r="G23" t="str">
        <v>Raif Oz</v>
      </c>
      <c r="H23" s="1">
        <v>6</v>
      </c>
      <c r="I23" s="4">
        <v>4.2615740740740739E-2</v>
      </c>
      <c r="J23" s="1">
        <v>25</v>
      </c>
      <c r="K23" s="1">
        <v>0</v>
      </c>
      <c r="L23" s="1">
        <v>25</v>
      </c>
    </row>
    <row r="24" spans="2:12" x14ac:dyDescent="0.2">
      <c r="B24" s="1" cm="1">
        <f t="array" ref="B24">_xlfn.ANCHORARRAY('Results - A'!A20)</f>
        <v>17</v>
      </c>
      <c r="C24" t="str">
        <v>Bill McClatchie</v>
      </c>
      <c r="D24" s="1">
        <v>121</v>
      </c>
      <c r="F24" s="1" cm="1">
        <f t="array" ref="F24">_xlfn.ANCHORARRAY('Results - A'!AK20)</f>
        <v>17</v>
      </c>
      <c r="G24" t="str">
        <v>Conor Walsh</v>
      </c>
      <c r="H24" s="1">
        <v>7</v>
      </c>
      <c r="I24" s="4">
        <v>4.3240740740740739E-2</v>
      </c>
      <c r="J24" s="1">
        <v>24</v>
      </c>
      <c r="K24" s="1">
        <v>0</v>
      </c>
      <c r="L24" s="1">
        <v>24</v>
      </c>
    </row>
    <row r="25" spans="2:12" x14ac:dyDescent="0.2">
      <c r="B25" s="1" cm="1">
        <f t="array" ref="B25">_xlfn.ANCHORARRAY('Results - A'!A21)</f>
        <v>18</v>
      </c>
      <c r="C25" t="str">
        <v>Jonny Bodey</v>
      </c>
      <c r="D25" s="1">
        <v>120</v>
      </c>
      <c r="F25" s="1" cm="1">
        <f t="array" ref="F25">_xlfn.ANCHORARRAY('Results - A'!AK21)</f>
        <v>17</v>
      </c>
      <c r="G25" t="str">
        <v>Denis Whelan</v>
      </c>
      <c r="H25" s="1">
        <v>13</v>
      </c>
      <c r="I25" s="4">
        <v>4.5023148148148145E-2</v>
      </c>
      <c r="J25" s="1">
        <v>18</v>
      </c>
      <c r="K25" s="1">
        <v>6</v>
      </c>
      <c r="L25" s="1">
        <v>24</v>
      </c>
    </row>
    <row r="26" spans="2:12" x14ac:dyDescent="0.2">
      <c r="B26" s="1" cm="1">
        <f t="array" ref="B26">_xlfn.ANCHORARRAY('Results - A'!A22)</f>
        <v>19</v>
      </c>
      <c r="C26" t="str">
        <v>Gordon Reid</v>
      </c>
      <c r="D26" s="1">
        <v>118</v>
      </c>
      <c r="F26" s="1" cm="1">
        <f t="array" ref="F26">_xlfn.ANCHORARRAY('Results - A'!AK22)</f>
        <v>17</v>
      </c>
      <c r="G26" t="str">
        <v>Eamon Mason</v>
      </c>
      <c r="H26" s="1">
        <v>19</v>
      </c>
      <c r="I26" s="4">
        <v>4.6134259259259257E-2</v>
      </c>
      <c r="J26" s="1">
        <v>12</v>
      </c>
      <c r="K26" s="1">
        <v>12</v>
      </c>
      <c r="L26" s="1">
        <v>24</v>
      </c>
    </row>
    <row r="27" spans="2:12" x14ac:dyDescent="0.2">
      <c r="B27" s="1" cm="1">
        <f t="array" ref="B27">_xlfn.ANCHORARRAY('Results - A'!A23)</f>
        <v>20</v>
      </c>
      <c r="C27" t="str">
        <v>James Armitage-Hobbs</v>
      </c>
      <c r="D27" s="1">
        <v>113</v>
      </c>
      <c r="F27" s="1" cm="1">
        <f t="array" ref="F27">_xlfn.ANCHORARRAY('Results - A'!AK23)</f>
        <v>20</v>
      </c>
      <c r="G27" t="str">
        <v>Bill McClatchie</v>
      </c>
      <c r="H27" s="1">
        <v>20</v>
      </c>
      <c r="I27" s="4">
        <v>4.6331018518518521E-2</v>
      </c>
      <c r="J27" s="1">
        <v>11</v>
      </c>
      <c r="K27" s="1">
        <v>12</v>
      </c>
      <c r="L27" s="1">
        <v>23</v>
      </c>
    </row>
    <row r="28" spans="2:12" x14ac:dyDescent="0.2">
      <c r="B28" s="1" cm="1">
        <f t="array" ref="B28">_xlfn.ANCHORARRAY('Results - A'!A24)</f>
        <v>21</v>
      </c>
      <c r="C28" t="str">
        <v>Richard Halls</v>
      </c>
      <c r="D28" s="1">
        <v>104</v>
      </c>
      <c r="F28" s="1" cm="1">
        <f t="array" ref="F28">_xlfn.ANCHORARRAY('Results - A'!AK24)</f>
        <v>21</v>
      </c>
      <c r="G28" t="str">
        <v>James Armitage-Hobbs</v>
      </c>
      <c r="H28" s="1">
        <v>21</v>
      </c>
      <c r="I28" s="4">
        <v>4.7129629629629632E-2</v>
      </c>
      <c r="J28" s="1">
        <v>10</v>
      </c>
      <c r="K28" s="1">
        <v>12</v>
      </c>
      <c r="L28" s="1">
        <v>22</v>
      </c>
    </row>
    <row r="29" spans="2:12" x14ac:dyDescent="0.2">
      <c r="B29" s="1" cm="1">
        <f t="array" ref="B29">_xlfn.ANCHORARRAY('Results - A'!A25)</f>
        <v>22</v>
      </c>
      <c r="C29" t="str">
        <v>Tobi Rosenkranz</v>
      </c>
      <c r="D29" s="1">
        <v>97</v>
      </c>
      <c r="F29" s="1" cm="1">
        <f t="array" ref="F29">_xlfn.ANCHORARRAY('Results - A'!AK25)</f>
        <v>22</v>
      </c>
      <c r="G29" t="str">
        <v>Richard Halls</v>
      </c>
      <c r="H29" s="1">
        <v>22</v>
      </c>
      <c r="I29" s="4">
        <v>4.8935185185185186E-2</v>
      </c>
      <c r="J29" s="1">
        <v>9</v>
      </c>
      <c r="K29" s="1">
        <v>12</v>
      </c>
      <c r="L29" s="1">
        <v>21</v>
      </c>
    </row>
    <row r="30" spans="2:12" x14ac:dyDescent="0.2">
      <c r="B30" s="1" cm="1">
        <f t="array" ref="B30">_xlfn.ANCHORARRAY('Results - A'!A26)</f>
        <v>23</v>
      </c>
      <c r="C30" t="str">
        <v>Rupert Gordon-Watkins</v>
      </c>
      <c r="D30" s="1">
        <v>93</v>
      </c>
      <c r="F30" s="1" cm="1">
        <f t="array" ref="F30">_xlfn.ANCHORARRAY('Results - A'!AK26)</f>
        <v>23</v>
      </c>
      <c r="G30" t="str">
        <v>Rupert Gordon-Watkins</v>
      </c>
      <c r="H30" s="1">
        <v>23</v>
      </c>
      <c r="I30" s="4">
        <v>4.9212962962962965E-2</v>
      </c>
      <c r="J30" s="1">
        <v>8</v>
      </c>
      <c r="K30" s="1">
        <v>12</v>
      </c>
      <c r="L30" s="1">
        <v>20</v>
      </c>
    </row>
    <row r="31" spans="2:12" x14ac:dyDescent="0.2">
      <c r="B31" s="1" cm="1">
        <f t="array" ref="B31">_xlfn.ANCHORARRAY('Results - A'!A27)</f>
        <v>24</v>
      </c>
      <c r="C31" t="str">
        <v>Conor Walsh</v>
      </c>
      <c r="D31" s="1">
        <v>88</v>
      </c>
      <c r="F31" s="1" cm="1">
        <f t="array" ref="F31">_xlfn.ANCHORARRAY('Results - A'!AK27)</f>
        <v>24</v>
      </c>
      <c r="G31" t="str">
        <v>Olly Wright</v>
      </c>
      <c r="H31" s="1">
        <v>27</v>
      </c>
      <c r="I31" s="4">
        <v>4.9212962962962965E-2</v>
      </c>
      <c r="J31" s="1">
        <v>4</v>
      </c>
      <c r="K31" s="1">
        <v>12</v>
      </c>
      <c r="L31" s="1">
        <v>16</v>
      </c>
    </row>
    <row r="32" spans="2:12" x14ac:dyDescent="0.2">
      <c r="B32" s="1" cm="1">
        <f t="array" ref="B32">_xlfn.ANCHORARRAY('Results - A'!A28)</f>
        <v>24</v>
      </c>
      <c r="C32" t="str">
        <v>Olly Wright</v>
      </c>
      <c r="D32" s="1">
        <v>88</v>
      </c>
      <c r="F32" s="1" cm="1">
        <f t="array" ref="F32">_xlfn.ANCHORARRAY('Results - A'!AK28)</f>
        <v>25</v>
      </c>
      <c r="G32" t="str">
        <v>Marcus Jones</v>
      </c>
      <c r="H32" s="1">
        <v>24</v>
      </c>
      <c r="I32" s="4">
        <v>4.9212962962962965E-2</v>
      </c>
      <c r="J32" s="1">
        <v>7</v>
      </c>
      <c r="K32" s="1">
        <v>6</v>
      </c>
      <c r="L32" s="1">
        <v>13</v>
      </c>
    </row>
    <row r="33" spans="2:12" x14ac:dyDescent="0.2">
      <c r="B33" s="1" cm="1">
        <f t="array" ref="B33">_xlfn.ANCHORARRAY('Results - A'!A29)</f>
        <v>26</v>
      </c>
      <c r="C33" t="str">
        <v>Marcus Jones</v>
      </c>
      <c r="D33" s="1">
        <v>62</v>
      </c>
      <c r="F33" s="1" cm="1">
        <f t="array" ref="F33">_xlfn.ANCHORARRAY('Results - A'!AK29)</f>
        <v>26</v>
      </c>
      <c r="G33" t="str">
        <v>Tobi Rosenkranz</v>
      </c>
      <c r="H33" s="1">
        <v>25</v>
      </c>
      <c r="I33" s="4">
        <v>4.9212962962962965E-2</v>
      </c>
      <c r="J33" s="1">
        <v>6</v>
      </c>
      <c r="K33" s="1">
        <v>6</v>
      </c>
      <c r="L33" s="1">
        <v>12</v>
      </c>
    </row>
    <row r="34" spans="2:12" x14ac:dyDescent="0.2">
      <c r="B34" s="1" cm="1">
        <f t="array" ref="B34">_xlfn.ANCHORARRAY('Results - A'!A30)</f>
        <v>27</v>
      </c>
      <c r="C34" t="str">
        <v>Richard Turner</v>
      </c>
      <c r="D34" s="1">
        <v>61</v>
      </c>
      <c r="F34" s="1" cm="1">
        <f t="array" ref="F34">_xlfn.ANCHORARRAY('Results - A'!AK30)</f>
        <v>27</v>
      </c>
      <c r="G34" t="str">
        <v>Richard Turner</v>
      </c>
      <c r="H34" s="1">
        <v>26</v>
      </c>
      <c r="I34" s="4">
        <v>4.9212962962962965E-2</v>
      </c>
      <c r="J34" s="1">
        <v>5</v>
      </c>
      <c r="K34" s="1">
        <v>6</v>
      </c>
      <c r="L34" s="1">
        <v>11</v>
      </c>
    </row>
    <row r="36" spans="2:12" ht="20" thickBot="1" x14ac:dyDescent="0.3">
      <c r="B36" s="22" t="s">
        <v>90</v>
      </c>
      <c r="C36" s="22"/>
      <c r="D36" s="22"/>
      <c r="F36" s="22" t="s">
        <v>126</v>
      </c>
      <c r="G36" s="22"/>
      <c r="H36" s="22"/>
      <c r="I36" s="22"/>
      <c r="J36" s="22"/>
      <c r="K36" s="22"/>
      <c r="L36" s="22"/>
    </row>
    <row r="37" spans="2:12" x14ac:dyDescent="0.2">
      <c r="B37" s="3" t="s">
        <v>23</v>
      </c>
      <c r="C37" s="7" t="s">
        <v>24</v>
      </c>
      <c r="D37" s="3" t="s">
        <v>27</v>
      </c>
      <c r="E37" s="3"/>
      <c r="F37" s="3" t="s">
        <v>44</v>
      </c>
      <c r="G37" s="7" t="s">
        <v>24</v>
      </c>
      <c r="H37" s="3" t="s">
        <v>45</v>
      </c>
      <c r="I37" s="9" t="s">
        <v>25</v>
      </c>
      <c r="J37" s="3" t="s">
        <v>46</v>
      </c>
      <c r="K37" s="3" t="s">
        <v>33</v>
      </c>
      <c r="L37" s="3" t="s">
        <v>26</v>
      </c>
    </row>
    <row r="38" spans="2:12" ht="7" customHeight="1" x14ac:dyDescent="0.2"/>
    <row r="39" spans="2:12" x14ac:dyDescent="0.2">
      <c r="B39" s="1" cm="1">
        <f t="array" ref="B39">_xlfn.ANCHORARRAY('Results - B'!A4)</f>
        <v>1</v>
      </c>
      <c r="C39" t="str" cm="1">
        <f t="array" ref="C39:D78">_xlfn.ANCHORARRAY('Results - B'!B4)</f>
        <v>Russell Beard</v>
      </c>
      <c r="D39" s="1">
        <v>200</v>
      </c>
      <c r="F39" s="1" cm="1">
        <f t="array" ref="F39">_xlfn.ANCHORARRAY('Results - B'!AK4)</f>
        <v>1</v>
      </c>
      <c r="G39" t="str" cm="1">
        <f t="array" ref="G39:L78">_xlfn.ANCHORARRAY('Results - B'!AL4)</f>
        <v>Alessandra Scaduto</v>
      </c>
      <c r="H39" s="1">
        <v>22</v>
      </c>
      <c r="I39" s="4">
        <v>5.5243055555555552E-2</v>
      </c>
      <c r="J39" s="1">
        <v>19</v>
      </c>
      <c r="K39" s="1">
        <v>22</v>
      </c>
      <c r="L39" s="1">
        <v>40</v>
      </c>
    </row>
    <row r="40" spans="2:12" x14ac:dyDescent="0.2">
      <c r="B40" s="1" cm="1">
        <f t="array" ref="B40">_xlfn.ANCHORARRAY('Results - B'!A5)</f>
        <v>2</v>
      </c>
      <c r="C40" t="str">
        <v>Rich Southcott</v>
      </c>
      <c r="D40" s="1">
        <v>199</v>
      </c>
      <c r="F40" s="1" cm="1">
        <f t="array" ref="F40">_xlfn.ANCHORARRAY('Results - B'!AK5)</f>
        <v>1</v>
      </c>
      <c r="G40" t="str">
        <v>Alex Joss</v>
      </c>
      <c r="H40" s="1">
        <v>7</v>
      </c>
      <c r="I40" s="4">
        <v>4.9444444444444444E-2</v>
      </c>
      <c r="J40" s="1">
        <v>34</v>
      </c>
      <c r="K40" s="1">
        <v>8</v>
      </c>
      <c r="L40" s="1">
        <v>40</v>
      </c>
    </row>
    <row r="41" spans="2:12" x14ac:dyDescent="0.2">
      <c r="B41" s="1" cm="1">
        <f t="array" ref="B41">_xlfn.ANCHORARRAY('Results - B'!A6)</f>
        <v>3</v>
      </c>
      <c r="C41" t="str">
        <v xml:space="preserve">David Willis </v>
      </c>
      <c r="D41" s="1">
        <v>196</v>
      </c>
      <c r="F41" s="1" cm="1">
        <f t="array" ref="F41">_xlfn.ANCHORARRAY('Results - B'!AK6)</f>
        <v>1</v>
      </c>
      <c r="G41" t="str">
        <v>James Turner</v>
      </c>
      <c r="H41" s="1">
        <v>16</v>
      </c>
      <c r="I41" s="4">
        <v>5.2349537037037035E-2</v>
      </c>
      <c r="J41" s="1">
        <v>25</v>
      </c>
      <c r="K41" s="1">
        <v>22</v>
      </c>
      <c r="L41" s="1">
        <v>40</v>
      </c>
    </row>
    <row r="42" spans="2:12" x14ac:dyDescent="0.2">
      <c r="B42" s="1" cm="1">
        <f t="array" ref="B42">_xlfn.ANCHORARRAY('Results - B'!A7)</f>
        <v>4</v>
      </c>
      <c r="C42" t="str">
        <v>James Turner</v>
      </c>
      <c r="D42" s="1">
        <v>194</v>
      </c>
      <c r="F42" s="1" cm="1">
        <f t="array" ref="F42">_xlfn.ANCHORARRAY('Results - B'!AK7)</f>
        <v>1</v>
      </c>
      <c r="G42" t="str">
        <v>Laura McMullen</v>
      </c>
      <c r="H42" s="1">
        <v>8</v>
      </c>
      <c r="I42" s="4">
        <v>4.9490740740740738E-2</v>
      </c>
      <c r="J42" s="1">
        <v>33</v>
      </c>
      <c r="K42" s="1">
        <v>8</v>
      </c>
      <c r="L42" s="1">
        <v>40</v>
      </c>
    </row>
    <row r="43" spans="2:12" x14ac:dyDescent="0.2">
      <c r="B43" s="1" cm="1">
        <f t="array" ref="B43">_xlfn.ANCHORARRAY('Results - B'!A8)</f>
        <v>5</v>
      </c>
      <c r="C43" t="str">
        <v>Peter Lyons</v>
      </c>
      <c r="D43" s="1">
        <v>189</v>
      </c>
      <c r="F43" s="1" cm="1">
        <f t="array" ref="F43">_xlfn.ANCHORARRAY('Results - B'!AK8)</f>
        <v>5</v>
      </c>
      <c r="G43" t="str">
        <v>Rich Southcott</v>
      </c>
      <c r="H43" s="1">
        <v>1</v>
      </c>
      <c r="I43" s="4">
        <v>4.5231481481481484E-2</v>
      </c>
      <c r="J43" s="1">
        <v>40</v>
      </c>
      <c r="K43" s="1">
        <v>0</v>
      </c>
      <c r="L43" s="1">
        <v>40</v>
      </c>
    </row>
    <row r="44" spans="2:12" x14ac:dyDescent="0.2">
      <c r="B44" s="1" cm="1">
        <f t="array" ref="B44">_xlfn.ANCHORARRAY('Results - B'!A9)</f>
        <v>6</v>
      </c>
      <c r="C44" t="str">
        <v>Laura McMullen</v>
      </c>
      <c r="D44" s="1">
        <v>188</v>
      </c>
      <c r="F44" s="1" cm="1">
        <f t="array" ref="F44">_xlfn.ANCHORARRAY('Results - B'!AK9)</f>
        <v>6</v>
      </c>
      <c r="G44" t="str">
        <v>Russell Beard</v>
      </c>
      <c r="H44" s="1">
        <v>9</v>
      </c>
      <c r="I44" s="4">
        <v>5.0081018518518518E-2</v>
      </c>
      <c r="J44" s="1">
        <v>32</v>
      </c>
      <c r="K44" s="1">
        <v>8</v>
      </c>
      <c r="L44" s="1">
        <v>40</v>
      </c>
    </row>
    <row r="45" spans="2:12" x14ac:dyDescent="0.2">
      <c r="B45" s="1" cm="1">
        <f t="array" ref="B45">_xlfn.ANCHORARRAY('Results - B'!A10)</f>
        <v>7</v>
      </c>
      <c r="C45" t="str">
        <v>Sean Haywood</v>
      </c>
      <c r="D45" s="1">
        <v>185</v>
      </c>
      <c r="F45" s="1" cm="1">
        <f t="array" ref="F45">_xlfn.ANCHORARRAY('Results - B'!AK10)</f>
        <v>6</v>
      </c>
      <c r="G45" t="str">
        <v xml:space="preserve">David Willis </v>
      </c>
      <c r="H45" s="1">
        <v>2</v>
      </c>
      <c r="I45" s="4">
        <v>4.6238425925925926E-2</v>
      </c>
      <c r="J45" s="1">
        <v>39</v>
      </c>
      <c r="K45" s="1">
        <v>0</v>
      </c>
      <c r="L45" s="1">
        <v>39</v>
      </c>
    </row>
    <row r="46" spans="2:12" x14ac:dyDescent="0.2">
      <c r="B46" s="1" cm="1">
        <f t="array" ref="B46">_xlfn.ANCHORARRAY('Results - B'!A11)</f>
        <v>8</v>
      </c>
      <c r="C46" t="str">
        <v>Luke Fenney</v>
      </c>
      <c r="D46" s="1">
        <v>182</v>
      </c>
      <c r="F46" s="1" cm="1">
        <f t="array" ref="F46">_xlfn.ANCHORARRAY('Results - B'!AK11)</f>
        <v>6</v>
      </c>
      <c r="G46" t="str">
        <v>Luke Fenney</v>
      </c>
      <c r="H46" s="1">
        <v>18</v>
      </c>
      <c r="I46" s="4">
        <v>5.4016203703703705E-2</v>
      </c>
      <c r="J46" s="1">
        <v>23</v>
      </c>
      <c r="K46" s="1">
        <v>16</v>
      </c>
      <c r="L46" s="1">
        <v>39</v>
      </c>
    </row>
    <row r="47" spans="2:12" x14ac:dyDescent="0.2">
      <c r="B47" s="1" cm="1">
        <f t="array" ref="B47">_xlfn.ANCHORARRAY('Results - B'!A12)</f>
        <v>9</v>
      </c>
      <c r="C47" t="str">
        <v>Alex Joss</v>
      </c>
      <c r="D47" s="1">
        <v>178</v>
      </c>
      <c r="F47" s="1" cm="1">
        <f t="array" ref="F47">_xlfn.ANCHORARRAY('Results - B'!AK12)</f>
        <v>9</v>
      </c>
      <c r="G47" t="str">
        <v xml:space="preserve">Nick Dumonde </v>
      </c>
      <c r="H47" s="1">
        <v>11</v>
      </c>
      <c r="I47" s="4">
        <v>5.0347222222222224E-2</v>
      </c>
      <c r="J47" s="1">
        <v>30</v>
      </c>
      <c r="K47" s="1">
        <v>8</v>
      </c>
      <c r="L47" s="1">
        <v>38</v>
      </c>
    </row>
    <row r="48" spans="2:12" x14ac:dyDescent="0.2">
      <c r="B48" s="1" cm="1">
        <f t="array" ref="B48">_xlfn.ANCHORARRAY('Results - B'!A13)</f>
        <v>10</v>
      </c>
      <c r="C48" t="str">
        <v>Alessandra Scaduto</v>
      </c>
      <c r="D48" s="1">
        <v>170</v>
      </c>
      <c r="F48" s="1" cm="1">
        <f t="array" ref="F48">_xlfn.ANCHORARRAY('Results - B'!AK13)</f>
        <v>10</v>
      </c>
      <c r="G48" t="str">
        <v>Sean Haywood</v>
      </c>
      <c r="H48" s="1">
        <v>3</v>
      </c>
      <c r="I48" s="4">
        <v>4.7256944444444442E-2</v>
      </c>
      <c r="J48" s="1">
        <v>38</v>
      </c>
      <c r="K48" s="1">
        <v>0</v>
      </c>
      <c r="L48" s="1">
        <v>38</v>
      </c>
    </row>
    <row r="49" spans="2:12" x14ac:dyDescent="0.2">
      <c r="B49" s="1" cm="1">
        <f t="array" ref="B49">_xlfn.ANCHORARRAY('Results - B'!A14)</f>
        <v>11</v>
      </c>
      <c r="C49" t="str">
        <v>David Griffiths</v>
      </c>
      <c r="D49" s="1">
        <v>168</v>
      </c>
      <c r="F49" s="1" cm="1">
        <f t="array" ref="F49">_xlfn.ANCHORARRAY('Results - B'!AK14)</f>
        <v>11</v>
      </c>
      <c r="G49" t="str">
        <v>Peter Lyons</v>
      </c>
      <c r="H49" s="1">
        <v>4</v>
      </c>
      <c r="I49" s="4">
        <v>4.8946759259259259E-2</v>
      </c>
      <c r="J49" s="1">
        <v>37</v>
      </c>
      <c r="K49" s="1">
        <v>0</v>
      </c>
      <c r="L49" s="1">
        <v>37</v>
      </c>
    </row>
    <row r="50" spans="2:12" x14ac:dyDescent="0.2">
      <c r="B50" s="1" cm="1">
        <f t="array" ref="B50">_xlfn.ANCHORARRAY('Results - B'!A15)</f>
        <v>12</v>
      </c>
      <c r="C50" t="str">
        <v>Alex Wilson-Jones</v>
      </c>
      <c r="D50" s="1">
        <v>166</v>
      </c>
      <c r="F50" s="1" cm="1">
        <f t="array" ref="F50">_xlfn.ANCHORARRAY('Results - B'!AK15)</f>
        <v>11</v>
      </c>
      <c r="G50" t="str">
        <v>Jeremy Sharpe</v>
      </c>
      <c r="H50" s="1">
        <v>13</v>
      </c>
      <c r="I50" s="4">
        <v>5.2083333333333336E-2</v>
      </c>
      <c r="J50" s="1">
        <v>28</v>
      </c>
      <c r="K50" s="1">
        <v>8</v>
      </c>
      <c r="L50" s="1">
        <v>36</v>
      </c>
    </row>
    <row r="51" spans="2:12" x14ac:dyDescent="0.2">
      <c r="B51" s="1" cm="1">
        <f t="array" ref="B51">_xlfn.ANCHORARRAY('Results - B'!A16)</f>
        <v>13</v>
      </c>
      <c r="C51" t="str">
        <v>Joe Barrett</v>
      </c>
      <c r="D51" s="1">
        <v>164</v>
      </c>
      <c r="F51" s="1" cm="1">
        <f t="array" ref="F51">_xlfn.ANCHORARRAY('Results - B'!AK16)</f>
        <v>13</v>
      </c>
      <c r="G51" t="str">
        <v>Joe Barrett</v>
      </c>
      <c r="H51" s="1">
        <v>5</v>
      </c>
      <c r="I51" s="4">
        <v>4.9085648148148149E-2</v>
      </c>
      <c r="J51" s="1">
        <v>36</v>
      </c>
      <c r="K51" s="1">
        <v>0</v>
      </c>
      <c r="L51" s="1">
        <v>36</v>
      </c>
    </row>
    <row r="52" spans="2:12" x14ac:dyDescent="0.2">
      <c r="B52" s="1" cm="1">
        <f t="array" ref="B52">_xlfn.ANCHORARRAY('Results - B'!A17)</f>
        <v>14</v>
      </c>
      <c r="C52" t="str">
        <v>Jeremy Sharpe</v>
      </c>
      <c r="D52" s="1">
        <v>163</v>
      </c>
      <c r="F52" s="1" cm="1">
        <f t="array" ref="F52">_xlfn.ANCHORARRAY('Results - B'!AK17)</f>
        <v>13</v>
      </c>
      <c r="G52" t="str">
        <v>Alexandra Chuchu</v>
      </c>
      <c r="H52" s="1">
        <v>28</v>
      </c>
      <c r="I52" s="4">
        <v>6.0057870370370373E-2</v>
      </c>
      <c r="J52" s="1">
        <v>13</v>
      </c>
      <c r="K52" s="1">
        <v>22</v>
      </c>
      <c r="L52" s="1">
        <v>35</v>
      </c>
    </row>
    <row r="53" spans="2:12" x14ac:dyDescent="0.2">
      <c r="B53" s="1" cm="1">
        <f t="array" ref="B53">_xlfn.ANCHORARRAY('Results - B'!A18)</f>
        <v>15</v>
      </c>
      <c r="C53" t="str">
        <v>Alexandra Chuchu</v>
      </c>
      <c r="D53" s="1">
        <v>162</v>
      </c>
      <c r="F53" s="1" cm="1">
        <f t="array" ref="F53">_xlfn.ANCHORARRAY('Results - B'!AK18)</f>
        <v>15</v>
      </c>
      <c r="G53" t="str">
        <v>Mark Presland</v>
      </c>
      <c r="H53" s="1">
        <v>6</v>
      </c>
      <c r="I53" s="4">
        <v>4.925925925925926E-2</v>
      </c>
      <c r="J53" s="1">
        <v>35</v>
      </c>
      <c r="K53" s="1">
        <v>0</v>
      </c>
      <c r="L53" s="1">
        <v>35</v>
      </c>
    </row>
    <row r="54" spans="2:12" x14ac:dyDescent="0.2">
      <c r="B54" s="1" cm="1">
        <f t="array" ref="B54">_xlfn.ANCHORARRAY('Results - B'!A19)</f>
        <v>16</v>
      </c>
      <c r="C54" t="str">
        <v>Martyn Hopping</v>
      </c>
      <c r="D54" s="1">
        <v>160</v>
      </c>
      <c r="F54" s="1" cm="1">
        <f t="array" ref="F54">_xlfn.ANCHORARRAY('Results - B'!AK19)</f>
        <v>15</v>
      </c>
      <c r="G54" t="str">
        <v>Simon White</v>
      </c>
      <c r="H54" s="1">
        <v>14</v>
      </c>
      <c r="I54" s="4" t="str">
        <v>01:!5:06</v>
      </c>
      <c r="J54" s="1">
        <v>27</v>
      </c>
      <c r="K54" s="1">
        <v>8</v>
      </c>
      <c r="L54" s="1">
        <v>35</v>
      </c>
    </row>
    <row r="55" spans="2:12" x14ac:dyDescent="0.2">
      <c r="B55" s="1" cm="1">
        <f t="array" ref="B55">_xlfn.ANCHORARRAY('Results - B'!A20)</f>
        <v>17</v>
      </c>
      <c r="C55" t="str">
        <v>Luke Benfield</v>
      </c>
      <c r="D55" s="1">
        <v>159</v>
      </c>
      <c r="F55" s="1" cm="1">
        <f t="array" ref="F55">_xlfn.ANCHORARRAY('Results - B'!AK20)</f>
        <v>17</v>
      </c>
      <c r="G55" t="str">
        <v>Phoebe Macwhinnie</v>
      </c>
      <c r="H55" s="1">
        <v>29</v>
      </c>
      <c r="I55" s="4">
        <v>6.0428240740740741E-2</v>
      </c>
      <c r="J55" s="1">
        <v>12</v>
      </c>
      <c r="K55" s="1">
        <v>22</v>
      </c>
      <c r="L55" s="1">
        <v>34</v>
      </c>
    </row>
    <row r="56" spans="2:12" x14ac:dyDescent="0.2">
      <c r="B56" s="1" cm="1">
        <f t="array" ref="B56">_xlfn.ANCHORARRAY('Results - B'!A21)</f>
        <v>18</v>
      </c>
      <c r="C56" t="str">
        <v xml:space="preserve">Nick Dumonde </v>
      </c>
      <c r="D56" s="1">
        <v>156</v>
      </c>
      <c r="F56" s="1" cm="1">
        <f t="array" ref="F56">_xlfn.ANCHORARRAY('Results - B'!AK21)</f>
        <v>18</v>
      </c>
      <c r="G56" t="str">
        <v>Tom Bagley</v>
      </c>
      <c r="H56" s="1">
        <v>23</v>
      </c>
      <c r="I56" s="4">
        <v>5.5682870370370369E-2</v>
      </c>
      <c r="J56" s="1">
        <v>18</v>
      </c>
      <c r="K56" s="1">
        <v>16</v>
      </c>
      <c r="L56" s="1">
        <v>34</v>
      </c>
    </row>
    <row r="57" spans="2:12" x14ac:dyDescent="0.2">
      <c r="B57" s="1" cm="1">
        <f t="array" ref="B57">_xlfn.ANCHORARRAY('Results - B'!A22)</f>
        <v>18</v>
      </c>
      <c r="C57" t="str">
        <v>Simon White</v>
      </c>
      <c r="D57" s="1">
        <v>156</v>
      </c>
      <c r="F57" s="1" cm="1">
        <f t="array" ref="F57">_xlfn.ANCHORARRAY('Results - B'!AK22)</f>
        <v>18</v>
      </c>
      <c r="G57" t="str">
        <v>Alex Wilson-Jones</v>
      </c>
      <c r="H57" s="1">
        <v>17</v>
      </c>
      <c r="I57" s="4">
        <v>5.3680555555555558E-2</v>
      </c>
      <c r="J57" s="1">
        <v>24</v>
      </c>
      <c r="K57" s="1">
        <v>8</v>
      </c>
      <c r="L57" s="1">
        <v>32</v>
      </c>
    </row>
    <row r="58" spans="2:12" x14ac:dyDescent="0.2">
      <c r="B58" s="1" cm="1">
        <f t="array" ref="B58">_xlfn.ANCHORARRAY('Results - B'!A23)</f>
        <v>20</v>
      </c>
      <c r="C58" t="str">
        <v>Phoebe Macwhinnie</v>
      </c>
      <c r="D58" s="1">
        <v>155</v>
      </c>
      <c r="F58" s="1" cm="1">
        <f t="array" ref="F58">_xlfn.ANCHORARRAY('Results - B'!AK23)</f>
        <v>18</v>
      </c>
      <c r="G58" t="str">
        <v>Matt Wynn</v>
      </c>
      <c r="H58" s="1">
        <v>25</v>
      </c>
      <c r="I58" s="4">
        <v>5.7708333333333334E-2</v>
      </c>
      <c r="J58" s="1">
        <v>16</v>
      </c>
      <c r="K58" s="1">
        <v>16</v>
      </c>
      <c r="L58" s="1">
        <v>32</v>
      </c>
    </row>
    <row r="59" spans="2:12" x14ac:dyDescent="0.2">
      <c r="B59" s="1" cm="1">
        <f t="array" ref="B59">_xlfn.ANCHORARRAY('Results - B'!A24)</f>
        <v>20</v>
      </c>
      <c r="C59" t="str">
        <v>Tom Bagley</v>
      </c>
      <c r="D59" s="1">
        <v>155</v>
      </c>
      <c r="F59" s="1" cm="1">
        <f t="array" ref="F59">_xlfn.ANCHORARRAY('Results - B'!AK24)</f>
        <v>18</v>
      </c>
      <c r="G59" t="str">
        <v>Patricia Villar</v>
      </c>
      <c r="H59" s="1">
        <v>31</v>
      </c>
      <c r="I59" s="4">
        <v>6.3969907407407406E-2</v>
      </c>
      <c r="J59" s="1">
        <v>10</v>
      </c>
      <c r="K59" s="1">
        <v>22</v>
      </c>
      <c r="L59" s="1">
        <v>32</v>
      </c>
    </row>
    <row r="60" spans="2:12" x14ac:dyDescent="0.2">
      <c r="B60" s="1" cm="1">
        <f t="array" ref="B60">_xlfn.ANCHORARRAY('Results - B'!A25)</f>
        <v>22</v>
      </c>
      <c r="C60" t="str">
        <v>Patricia Villar</v>
      </c>
      <c r="D60" s="1">
        <v>153</v>
      </c>
      <c r="F60" s="1" cm="1">
        <f t="array" ref="F60">_xlfn.ANCHORARRAY('Results - B'!AK25)</f>
        <v>22</v>
      </c>
      <c r="G60" t="str">
        <v>Luke Benfield</v>
      </c>
      <c r="H60" s="1">
        <v>10</v>
      </c>
      <c r="I60" s="4" t="str">
        <v>01:12:!2</v>
      </c>
      <c r="J60" s="1">
        <v>31</v>
      </c>
      <c r="K60" s="1">
        <v>0</v>
      </c>
      <c r="L60" s="1">
        <v>31</v>
      </c>
    </row>
    <row r="61" spans="2:12" x14ac:dyDescent="0.2">
      <c r="B61" s="1" cm="1">
        <f t="array" ref="B61">_xlfn.ANCHORARRAY('Results - B'!A26)</f>
        <v>23</v>
      </c>
      <c r="C61" t="str">
        <v>Matt Wynn</v>
      </c>
      <c r="D61" s="1">
        <v>149</v>
      </c>
      <c r="F61" s="1" cm="1">
        <f t="array" ref="F61">_xlfn.ANCHORARRAY('Results - B'!AK26)</f>
        <v>22</v>
      </c>
      <c r="G61" t="str">
        <v>Peter King</v>
      </c>
      <c r="H61" s="1">
        <v>32</v>
      </c>
      <c r="I61" s="4" t="str">
        <v>01:32:$4</v>
      </c>
      <c r="J61" s="1">
        <v>9</v>
      </c>
      <c r="K61" s="1">
        <v>22</v>
      </c>
      <c r="L61" s="1">
        <v>31</v>
      </c>
    </row>
    <row r="62" spans="2:12" x14ac:dyDescent="0.2">
      <c r="B62" s="1" cm="1">
        <f t="array" ref="B62">_xlfn.ANCHORARRAY('Results - B'!A27)</f>
        <v>24</v>
      </c>
      <c r="C62" t="str">
        <v>Paul Davey</v>
      </c>
      <c r="D62" s="1">
        <v>145</v>
      </c>
      <c r="F62" s="1" cm="1">
        <f t="array" ref="F62">_xlfn.ANCHORARRAY('Results - B'!AK27)</f>
        <v>24</v>
      </c>
      <c r="G62" t="str">
        <v>David Griffiths</v>
      </c>
      <c r="H62" s="1">
        <v>19</v>
      </c>
      <c r="I62" s="4">
        <v>5.4340277777777779E-2</v>
      </c>
      <c r="J62" s="1">
        <v>22</v>
      </c>
      <c r="K62" s="1">
        <v>8</v>
      </c>
      <c r="L62" s="1">
        <v>30</v>
      </c>
    </row>
    <row r="63" spans="2:12" x14ac:dyDescent="0.2">
      <c r="B63" s="1" cm="1">
        <f t="array" ref="B63">_xlfn.ANCHORARRAY('Results - B'!A28)</f>
        <v>25</v>
      </c>
      <c r="C63" t="str">
        <v>Peter King</v>
      </c>
      <c r="D63" s="1">
        <v>144</v>
      </c>
      <c r="F63" s="1" cm="1">
        <f t="array" ref="F63">_xlfn.ANCHORARRAY('Results - B'!AK28)</f>
        <v>24</v>
      </c>
      <c r="G63" t="str">
        <v>Jonny Vaux</v>
      </c>
      <c r="H63" s="1">
        <v>33</v>
      </c>
      <c r="I63" s="4" t="str">
        <v>01:39:!6</v>
      </c>
      <c r="J63" s="1">
        <v>8</v>
      </c>
      <c r="K63" s="1">
        <v>22</v>
      </c>
      <c r="L63" s="1">
        <v>30</v>
      </c>
    </row>
    <row r="64" spans="2:12" x14ac:dyDescent="0.2">
      <c r="B64" s="1" cm="1">
        <f t="array" ref="B64">_xlfn.ANCHORARRAY('Results - B'!A29)</f>
        <v>26</v>
      </c>
      <c r="C64" t="str">
        <v>Gareth Edwards</v>
      </c>
      <c r="D64" s="1">
        <v>141</v>
      </c>
      <c r="F64" s="1" cm="1">
        <f t="array" ref="F64">_xlfn.ANCHORARRAY('Results - B'!AK29)</f>
        <v>24</v>
      </c>
      <c r="G64" t="str">
        <v>Funking Baxter</v>
      </c>
      <c r="H64" s="1">
        <v>34</v>
      </c>
      <c r="I64" s="4">
        <v>7.8425925925925927E-2</v>
      </c>
      <c r="J64" s="1">
        <v>7</v>
      </c>
      <c r="K64" s="1">
        <v>22</v>
      </c>
      <c r="L64" s="1">
        <v>29</v>
      </c>
    </row>
    <row r="65" spans="2:12" x14ac:dyDescent="0.2">
      <c r="B65" s="1" cm="1">
        <f t="array" ref="B65">_xlfn.ANCHORARRAY('Results - B'!A30)</f>
        <v>27</v>
      </c>
      <c r="C65" t="str">
        <v>David Goddard</v>
      </c>
      <c r="D65" s="1">
        <v>140</v>
      </c>
      <c r="F65" s="1" cm="1">
        <f t="array" ref="F65">_xlfn.ANCHORARRAY('Results - B'!AK30)</f>
        <v>27</v>
      </c>
      <c r="G65" t="str">
        <v>Paul Davey</v>
      </c>
      <c r="H65" s="1">
        <v>12</v>
      </c>
      <c r="I65" s="4">
        <v>5.1018518518518519E-2</v>
      </c>
      <c r="J65" s="1">
        <v>29</v>
      </c>
      <c r="K65" s="1">
        <v>0</v>
      </c>
      <c r="L65" s="1">
        <v>29</v>
      </c>
    </row>
    <row r="66" spans="2:12" x14ac:dyDescent="0.2">
      <c r="B66" s="1" cm="1">
        <f t="array" ref="B66">_xlfn.ANCHORARRAY('Results - B'!A31)</f>
        <v>27</v>
      </c>
      <c r="C66" t="str">
        <v>Justin Goold</v>
      </c>
      <c r="D66" s="1">
        <v>140</v>
      </c>
      <c r="F66" s="1" cm="1">
        <f t="array" ref="F66">_xlfn.ANCHORARRAY('Results - B'!AK31)</f>
        <v>27</v>
      </c>
      <c r="G66" t="str">
        <v>Rob Cherry</v>
      </c>
      <c r="H66" s="1">
        <v>21</v>
      </c>
      <c r="I66" s="4">
        <v>5.5E-2</v>
      </c>
      <c r="J66" s="1">
        <v>20</v>
      </c>
      <c r="K66" s="1">
        <v>8</v>
      </c>
      <c r="L66" s="1">
        <v>28</v>
      </c>
    </row>
    <row r="67" spans="2:12" x14ac:dyDescent="0.2">
      <c r="B67" s="1" cm="1">
        <f t="array" ref="B67">_xlfn.ANCHORARRAY('Results - B'!A32)</f>
        <v>29</v>
      </c>
      <c r="C67" t="str">
        <v>Funking Baxter</v>
      </c>
      <c r="D67" s="1">
        <v>138</v>
      </c>
      <c r="F67" s="1" cm="1">
        <f t="array" ref="F67">_xlfn.ANCHORARRAY('Results - B'!AK32)</f>
        <v>27</v>
      </c>
      <c r="G67" t="str">
        <v>Harvey Jackson</v>
      </c>
      <c r="H67" s="1">
        <v>30</v>
      </c>
      <c r="I67" s="4">
        <v>6.0740740740740741E-2</v>
      </c>
      <c r="J67" s="1">
        <v>11</v>
      </c>
      <c r="K67" s="1">
        <v>16</v>
      </c>
      <c r="L67" s="1">
        <v>27</v>
      </c>
    </row>
    <row r="68" spans="2:12" x14ac:dyDescent="0.2">
      <c r="B68" s="1" cm="1">
        <f t="array" ref="B68">_xlfn.ANCHORARRAY('Results - B'!A33)</f>
        <v>30</v>
      </c>
      <c r="C68" t="str">
        <v>Mark Presland</v>
      </c>
      <c r="D68" s="1">
        <v>134</v>
      </c>
      <c r="F68" s="1" cm="1">
        <f t="array" ref="F68">_xlfn.ANCHORARRAY('Results - B'!AK33)</f>
        <v>27</v>
      </c>
      <c r="G68" t="str">
        <v>Alan Grant</v>
      </c>
      <c r="H68" s="1">
        <v>15</v>
      </c>
      <c r="I68" s="4">
        <v>5.2210648148148145E-2</v>
      </c>
      <c r="J68" s="1">
        <v>26</v>
      </c>
      <c r="K68" s="1">
        <v>0</v>
      </c>
      <c r="L68" s="1">
        <v>26</v>
      </c>
    </row>
    <row r="69" spans="2:12" x14ac:dyDescent="0.2">
      <c r="B69" s="1" cm="1">
        <f t="array" ref="B69">_xlfn.ANCHORARRAY('Results - B'!A34)</f>
        <v>31</v>
      </c>
      <c r="C69" t="str">
        <v>Alan Grant</v>
      </c>
      <c r="D69" s="1">
        <v>131</v>
      </c>
      <c r="F69" s="1" cm="1">
        <f t="array" ref="F69">_xlfn.ANCHORARRAY('Results - B'!AK34)</f>
        <v>31</v>
      </c>
      <c r="G69" t="str">
        <v>Richard Harrison</v>
      </c>
      <c r="H69" s="1">
        <v>24</v>
      </c>
      <c r="I69" s="4">
        <v>5.5972222222222222E-2</v>
      </c>
      <c r="J69" s="1">
        <v>17</v>
      </c>
      <c r="K69" s="1">
        <v>8</v>
      </c>
      <c r="L69" s="1">
        <v>25</v>
      </c>
    </row>
    <row r="70" spans="2:12" x14ac:dyDescent="0.2">
      <c r="B70" s="1" cm="1">
        <f t="array" ref="B70">_xlfn.ANCHORARRAY('Results - B'!A35)</f>
        <v>32</v>
      </c>
      <c r="C70" t="str">
        <v>Richard Harrison</v>
      </c>
      <c r="D70" s="1">
        <v>129</v>
      </c>
      <c r="F70" s="1" cm="1">
        <f t="array" ref="F70">_xlfn.ANCHORARRAY('Results - B'!AK35)</f>
        <v>31</v>
      </c>
      <c r="G70" t="str">
        <v>Chris Croft</v>
      </c>
      <c r="H70" s="1">
        <v>26</v>
      </c>
      <c r="I70" s="4">
        <v>5.7847222222222223E-2</v>
      </c>
      <c r="J70" s="1">
        <v>15</v>
      </c>
      <c r="K70" s="1">
        <v>8</v>
      </c>
      <c r="L70" s="1">
        <v>23</v>
      </c>
    </row>
    <row r="71" spans="2:12" x14ac:dyDescent="0.2">
      <c r="B71" s="1" cm="1">
        <f t="array" ref="B71">_xlfn.ANCHORARRAY('Results - B'!A36)</f>
        <v>33</v>
      </c>
      <c r="C71" t="str">
        <v>Jonny Vaux</v>
      </c>
      <c r="D71" s="1">
        <v>128</v>
      </c>
      <c r="F71" s="1" cm="1">
        <f t="array" ref="F71">_xlfn.ANCHORARRAY('Results - B'!AK36)</f>
        <v>33</v>
      </c>
      <c r="G71" t="str">
        <v>Gareth Edwards</v>
      </c>
      <c r="H71" s="1">
        <v>27</v>
      </c>
      <c r="I71" s="4">
        <v>5.9502314814814813E-2</v>
      </c>
      <c r="J71" s="1">
        <v>14</v>
      </c>
      <c r="K71" s="1">
        <v>8</v>
      </c>
      <c r="L71" s="1">
        <v>22</v>
      </c>
    </row>
    <row r="72" spans="2:12" x14ac:dyDescent="0.2">
      <c r="B72" s="1" cm="1">
        <f t="array" ref="B72">_xlfn.ANCHORARRAY('Results - B'!A37)</f>
        <v>34</v>
      </c>
      <c r="C72" t="str">
        <v>Harvey Jackson</v>
      </c>
      <c r="D72" s="1">
        <v>127</v>
      </c>
      <c r="F72" s="1" cm="1">
        <f t="array" ref="F72">_xlfn.ANCHORARRAY('Results - B'!AK37)</f>
        <v>34</v>
      </c>
      <c r="G72" t="str">
        <v>David Goddard</v>
      </c>
      <c r="H72" s="1">
        <v>20</v>
      </c>
      <c r="I72" s="4">
        <v>5.4386574074074073E-2</v>
      </c>
      <c r="J72" s="1">
        <v>21</v>
      </c>
      <c r="K72" s="1">
        <v>0</v>
      </c>
      <c r="L72" s="1">
        <v>21</v>
      </c>
    </row>
    <row r="73" spans="2:12" x14ac:dyDescent="0.2">
      <c r="B73" s="1" cm="1">
        <f t="array" ref="B73">_xlfn.ANCHORARRAY('Results - B'!A38)</f>
        <v>35</v>
      </c>
      <c r="C73" t="str">
        <v>Mark Stancombe</v>
      </c>
      <c r="D73" s="1">
        <v>119</v>
      </c>
      <c r="F73" s="1" cm="1">
        <f t="array" ref="F73">_xlfn.ANCHORARRAY('Results - B'!AK38)</f>
        <v>35</v>
      </c>
      <c r="G73" t="str">
        <v>Martyn Hopping</v>
      </c>
      <c r="H73" s="1">
        <v>38</v>
      </c>
      <c r="I73" s="4">
        <v>8.0509259259259253E-2</v>
      </c>
      <c r="J73" s="1">
        <v>3</v>
      </c>
      <c r="K73" s="1">
        <v>16</v>
      </c>
      <c r="L73" s="1">
        <v>19</v>
      </c>
    </row>
    <row r="74" spans="2:12" x14ac:dyDescent="0.2">
      <c r="B74" s="1" cm="1">
        <f t="array" ref="B74">_xlfn.ANCHORARRAY('Results - B'!A39)</f>
        <v>36</v>
      </c>
      <c r="C74" t="str">
        <v>Chris Croft</v>
      </c>
      <c r="D74" s="1">
        <v>113</v>
      </c>
      <c r="F74" s="1" cm="1">
        <f t="array" ref="F74">_xlfn.ANCHORARRAY('Results - B'!AK39)</f>
        <v>36</v>
      </c>
      <c r="G74" t="str">
        <v>Mark Stancombe</v>
      </c>
      <c r="H74" s="1">
        <v>39</v>
      </c>
      <c r="I74" s="4">
        <v>8.0509259259259253E-2</v>
      </c>
      <c r="J74" s="1">
        <v>2</v>
      </c>
      <c r="K74" s="1">
        <v>16</v>
      </c>
      <c r="L74" s="1">
        <v>18</v>
      </c>
    </row>
    <row r="75" spans="2:12" x14ac:dyDescent="0.2">
      <c r="B75" s="1" cm="1">
        <f t="array" ref="B75">_xlfn.ANCHORARRAY('Results - B'!A40)</f>
        <v>37</v>
      </c>
      <c r="C75" t="str">
        <v>Rob Cherry</v>
      </c>
      <c r="D75" s="1">
        <v>112</v>
      </c>
      <c r="F75" s="1" cm="1">
        <f t="array" ref="F75">_xlfn.ANCHORARRAY('Results - B'!AK40)</f>
        <v>37</v>
      </c>
      <c r="G75" t="str">
        <v>Olivier Baillet</v>
      </c>
      <c r="H75" s="1">
        <v>35</v>
      </c>
      <c r="I75" s="4">
        <v>8.0509259259259253E-2</v>
      </c>
      <c r="J75" s="1">
        <v>6</v>
      </c>
      <c r="K75" s="1">
        <v>8</v>
      </c>
      <c r="L75" s="1">
        <v>14</v>
      </c>
    </row>
    <row r="76" spans="2:12" x14ac:dyDescent="0.2">
      <c r="B76" s="1" cm="1">
        <f t="array" ref="B76">_xlfn.ANCHORARRAY('Results - B'!A41)</f>
        <v>38</v>
      </c>
      <c r="C76" t="str">
        <v xml:space="preserve">Adam Currie </v>
      </c>
      <c r="D76" s="1">
        <v>97</v>
      </c>
      <c r="F76" s="1" cm="1">
        <f t="array" ref="F76">_xlfn.ANCHORARRAY('Results - B'!AK41)</f>
        <v>38</v>
      </c>
      <c r="G76" t="str">
        <v>Justin Goold</v>
      </c>
      <c r="H76" s="1">
        <v>37</v>
      </c>
      <c r="I76" s="4">
        <v>8.0509259259259253E-2</v>
      </c>
      <c r="J76" s="1">
        <v>4</v>
      </c>
      <c r="K76" s="1">
        <v>8</v>
      </c>
      <c r="L76" s="1">
        <v>12</v>
      </c>
    </row>
    <row r="77" spans="2:12" x14ac:dyDescent="0.2">
      <c r="B77" s="1" cm="1">
        <f t="array" ref="B77">_xlfn.ANCHORARRAY('Results - B'!A42)</f>
        <v>39</v>
      </c>
      <c r="C77" t="str">
        <v>Hans Stiles</v>
      </c>
      <c r="D77" s="1">
        <v>69</v>
      </c>
      <c r="F77" s="1" cm="1">
        <f t="array" ref="F77">_xlfn.ANCHORARRAY('Results - B'!AK42)</f>
        <v>39</v>
      </c>
      <c r="G77" t="str">
        <v>Hans Stiles</v>
      </c>
      <c r="H77" s="1">
        <v>40</v>
      </c>
      <c r="I77" s="4">
        <v>8.0509259259259253E-2</v>
      </c>
      <c r="J77" s="1">
        <v>1</v>
      </c>
      <c r="K77" s="1">
        <v>8</v>
      </c>
      <c r="L77" s="1">
        <v>9</v>
      </c>
    </row>
    <row r="78" spans="2:12" x14ac:dyDescent="0.2">
      <c r="B78" s="1" cm="1">
        <f t="array" ref="B78">_xlfn.ANCHORARRAY('Results - B'!A43)</f>
        <v>40</v>
      </c>
      <c r="C78" t="str">
        <v>Olivier Baillet</v>
      </c>
      <c r="D78" s="1">
        <v>62</v>
      </c>
      <c r="F78" s="1" cm="1">
        <f t="array" ref="F78">_xlfn.ANCHORARRAY('Results - B'!AK43)</f>
        <v>40</v>
      </c>
      <c r="G78" t="str">
        <v xml:space="preserve">Adam Currie </v>
      </c>
      <c r="H78" s="1">
        <v>36</v>
      </c>
      <c r="I78" s="4">
        <v>8.0509259259259253E-2</v>
      </c>
      <c r="J78" s="1">
        <v>5</v>
      </c>
      <c r="K78" s="1">
        <v>0</v>
      </c>
      <c r="L78" s="1">
        <v>5</v>
      </c>
    </row>
    <row r="80" spans="2:12" ht="20" thickBot="1" x14ac:dyDescent="0.3">
      <c r="B80" s="22" t="s">
        <v>97</v>
      </c>
      <c r="C80" s="22"/>
      <c r="D80" s="22"/>
      <c r="F80" s="22" t="s">
        <v>127</v>
      </c>
      <c r="G80" s="22"/>
      <c r="H80" s="22"/>
      <c r="I80" s="22"/>
      <c r="J80" s="22"/>
      <c r="K80" s="22"/>
      <c r="L80" s="22"/>
    </row>
    <row r="81" spans="2:12" x14ac:dyDescent="0.2">
      <c r="B81" s="3" t="s">
        <v>23</v>
      </c>
      <c r="C81" s="7" t="s">
        <v>24</v>
      </c>
      <c r="D81" s="3" t="s">
        <v>27</v>
      </c>
      <c r="E81" s="3"/>
      <c r="F81" s="3" t="s">
        <v>44</v>
      </c>
      <c r="G81" s="7" t="s">
        <v>24</v>
      </c>
      <c r="H81" s="3" t="s">
        <v>45</v>
      </c>
      <c r="I81" s="9" t="s">
        <v>25</v>
      </c>
      <c r="J81" s="3" t="s">
        <v>46</v>
      </c>
      <c r="K81" s="3" t="s">
        <v>33</v>
      </c>
      <c r="L81" s="3" t="s">
        <v>26</v>
      </c>
    </row>
    <row r="82" spans="2:12" ht="7" customHeight="1" x14ac:dyDescent="0.2"/>
    <row r="83" spans="2:12" x14ac:dyDescent="0.2">
      <c r="B83" s="1" cm="1">
        <f t="array" ref="B83">_xlfn.ANCHORARRAY('Results - W'!A4)</f>
        <v>1</v>
      </c>
      <c r="C83" t="str" cm="1">
        <f t="array" ref="C83:D89">_xlfn.ANCHORARRAY('Results - W'!B4)</f>
        <v>Alessandra Scaduto</v>
      </c>
      <c r="D83" s="1">
        <v>34</v>
      </c>
      <c r="F83" s="1" cm="1">
        <f t="array" ref="F83">_xlfn.ANCHORARRAY('Results - W'!AK4)</f>
        <v>1</v>
      </c>
      <c r="G83" t="str" cm="1">
        <f t="array" ref="G83:L89">_xlfn.ANCHORARRAY('Results - W'!AL4)</f>
        <v>Alessandra Scaduto</v>
      </c>
      <c r="H83" s="1">
        <v>4</v>
      </c>
      <c r="I83" s="4">
        <v>5.5243055555555552E-2</v>
      </c>
      <c r="J83" s="1">
        <v>3</v>
      </c>
      <c r="K83" s="1">
        <v>4</v>
      </c>
      <c r="L83" s="1">
        <v>7</v>
      </c>
    </row>
    <row r="84" spans="2:12" x14ac:dyDescent="0.2">
      <c r="B84" s="1" cm="1">
        <f t="array" ref="B84">_xlfn.ANCHORARRAY('Results - W'!A5)</f>
        <v>1</v>
      </c>
      <c r="C84" t="str">
        <v>Laura McMullen</v>
      </c>
      <c r="D84" s="1">
        <v>34</v>
      </c>
      <c r="F84" s="1" cm="1">
        <f t="array" ref="F84">_xlfn.ANCHORARRAY('Results - W'!AK5)</f>
        <v>1</v>
      </c>
      <c r="G84" t="str">
        <v>Alex Joss</v>
      </c>
      <c r="H84" s="1">
        <v>1</v>
      </c>
      <c r="I84" s="4">
        <v>4.9444444444444444E-2</v>
      </c>
      <c r="J84" s="1">
        <v>6</v>
      </c>
      <c r="K84" s="1">
        <v>2</v>
      </c>
      <c r="L84" s="1">
        <v>7</v>
      </c>
    </row>
    <row r="85" spans="2:12" x14ac:dyDescent="0.2">
      <c r="B85" s="1" cm="1">
        <f t="array" ref="B85">_xlfn.ANCHORARRAY('Results - W'!A6)</f>
        <v>3</v>
      </c>
      <c r="C85" t="str">
        <v>Alex Wilson-Jones</v>
      </c>
      <c r="D85" s="1">
        <v>33</v>
      </c>
      <c r="F85" s="1" cm="1">
        <f t="array" ref="F85">_xlfn.ANCHORARRAY('Results - W'!AK6)</f>
        <v>3</v>
      </c>
      <c r="G85" t="str">
        <v>Alex Wilson-Jones</v>
      </c>
      <c r="H85" s="1">
        <v>3</v>
      </c>
      <c r="I85" s="4">
        <v>5.3680555555555558E-2</v>
      </c>
      <c r="J85" s="1">
        <v>4</v>
      </c>
      <c r="K85" s="1">
        <v>2</v>
      </c>
      <c r="L85" s="1">
        <v>6</v>
      </c>
    </row>
    <row r="86" spans="2:12" x14ac:dyDescent="0.2">
      <c r="B86" s="1" cm="1">
        <f t="array" ref="B86">_xlfn.ANCHORARRAY('Results - W'!A7)</f>
        <v>4</v>
      </c>
      <c r="C86" t="str">
        <v>Alex Joss</v>
      </c>
      <c r="D86" s="1">
        <v>32</v>
      </c>
      <c r="F86" s="1" cm="1">
        <f t="array" ref="F86">_xlfn.ANCHORARRAY('Results - W'!AK7)</f>
        <v>3</v>
      </c>
      <c r="G86" t="str">
        <v>Alexandra Chuchu</v>
      </c>
      <c r="H86" s="1">
        <v>5</v>
      </c>
      <c r="I86" s="4">
        <v>6.0057870370370373E-2</v>
      </c>
      <c r="J86" s="1">
        <v>2</v>
      </c>
      <c r="K86" s="1">
        <v>4</v>
      </c>
      <c r="L86" s="1">
        <v>6</v>
      </c>
    </row>
    <row r="87" spans="2:12" x14ac:dyDescent="0.2">
      <c r="B87" s="1" cm="1">
        <f t="array" ref="B87">_xlfn.ANCHORARRAY('Results - W'!A8)</f>
        <v>5</v>
      </c>
      <c r="C87" t="str">
        <v>Alexandra Chuchu</v>
      </c>
      <c r="D87" s="1">
        <v>29</v>
      </c>
      <c r="F87" s="1" cm="1">
        <f t="array" ref="F87">_xlfn.ANCHORARRAY('Results - W'!AK8)</f>
        <v>3</v>
      </c>
      <c r="G87" t="str">
        <v>Laura McMullen</v>
      </c>
      <c r="H87" s="1">
        <v>2</v>
      </c>
      <c r="I87" s="4">
        <v>4.9490740740740738E-2</v>
      </c>
      <c r="J87" s="1">
        <v>5</v>
      </c>
      <c r="K87" s="1">
        <v>1</v>
      </c>
      <c r="L87" s="1">
        <v>6</v>
      </c>
    </row>
    <row r="88" spans="2:12" x14ac:dyDescent="0.2">
      <c r="B88" s="1" cm="1">
        <f t="array" ref="B88">_xlfn.ANCHORARRAY('Results - W'!A9)</f>
        <v>6</v>
      </c>
      <c r="C88" t="str">
        <v>Phoebe Macwhinnie</v>
      </c>
      <c r="D88" s="1">
        <v>26</v>
      </c>
      <c r="F88" s="1" cm="1">
        <f t="array" ref="F88">_xlfn.ANCHORARRAY('Results - W'!AK9)</f>
        <v>6</v>
      </c>
      <c r="G88" t="str">
        <v>Phoebe Macwhinnie</v>
      </c>
      <c r="H88" s="1">
        <v>6</v>
      </c>
      <c r="I88" s="4">
        <v>6.0428240740740741E-2</v>
      </c>
      <c r="J88" s="1">
        <v>1</v>
      </c>
      <c r="K88" s="1">
        <v>4</v>
      </c>
      <c r="L88" s="1">
        <v>5</v>
      </c>
    </row>
    <row r="89" spans="2:12" x14ac:dyDescent="0.2">
      <c r="B89" s="1" cm="1">
        <f t="array" ref="B89">_xlfn.ANCHORARRAY('Results - W'!A10)</f>
        <v>7</v>
      </c>
      <c r="C89" t="str">
        <v>Patricia Vilar</v>
      </c>
      <c r="D89" s="1">
        <v>21</v>
      </c>
      <c r="F89" s="1" cm="1">
        <f t="array" ref="F89">_xlfn.ANCHORARRAY('Results - W'!AK10)</f>
        <v>7</v>
      </c>
      <c r="G89" t="str">
        <v>Patricia Vilar</v>
      </c>
      <c r="H89" s="1">
        <v>7</v>
      </c>
      <c r="I89" s="4">
        <v>6.3969907407407406E-2</v>
      </c>
      <c r="J89" s="1">
        <v>0</v>
      </c>
      <c r="K89" s="1">
        <v>4</v>
      </c>
      <c r="L89" s="1">
        <v>4</v>
      </c>
    </row>
    <row r="90" spans="2:12" x14ac:dyDescent="0.2">
      <c r="B90" s="1" t="str" cm="1">
        <f t="array" ref="B90">_xlfn.ANCHORARRAY('Results - W'!A11)</f>
        <v/>
      </c>
    </row>
  </sheetData>
  <mergeCells count="6">
    <mergeCell ref="B5:D5"/>
    <mergeCell ref="F5:L5"/>
    <mergeCell ref="B36:D36"/>
    <mergeCell ref="F36:L36"/>
    <mergeCell ref="B80:D80"/>
    <mergeCell ref="F80:L80"/>
  </mergeCells>
  <printOptions horizontalCentered="1" verticalCentered="1"/>
  <pageMargins left="0.5" right="0.5" top="0.75" bottom="0.75" header="0.3" footer="0.3"/>
  <pageSetup paperSize="9" scale="59" orientation="portrait" horizontalDpi="0" verticalDpi="0"/>
  <headerFooter>
    <oddFooter>&amp;R&amp;"Calibri,Regular"&amp;K000000&amp;D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25</vt:i4>
      </vt:variant>
    </vt:vector>
  </HeadingPairs>
  <TitlesOfParts>
    <vt:vector size="36" baseType="lpstr">
      <vt:lpstr>Stage Data - A</vt:lpstr>
      <vt:lpstr>Stage Data - B</vt:lpstr>
      <vt:lpstr>Stage Data - W</vt:lpstr>
      <vt:lpstr>Handicaps</vt:lpstr>
      <vt:lpstr>Results - A</vt:lpstr>
      <vt:lpstr>Results - B</vt:lpstr>
      <vt:lpstr>Results - W</vt:lpstr>
      <vt:lpstr>Results - S1</vt:lpstr>
      <vt:lpstr>Results - S2</vt:lpstr>
      <vt:lpstr>Results - S3</vt:lpstr>
      <vt:lpstr>Results - S4</vt:lpstr>
      <vt:lpstr>CAP_A</vt:lpstr>
      <vt:lpstr>CAP_B</vt:lpstr>
      <vt:lpstr>HDCP_GRP_A1</vt:lpstr>
      <vt:lpstr>HDCP_GRP_A2</vt:lpstr>
      <vt:lpstr>HDCP_GRP_A3</vt:lpstr>
      <vt:lpstr>HDCP_GRP_A4</vt:lpstr>
      <vt:lpstr>HDCP_GRP_B1</vt:lpstr>
      <vt:lpstr>HDCP_GRP_B2</vt:lpstr>
      <vt:lpstr>HDCP_GRP_B3</vt:lpstr>
      <vt:lpstr>HDCP_GRP_B4</vt:lpstr>
      <vt:lpstr>HDCP_V_A1</vt:lpstr>
      <vt:lpstr>HDCP_V_A2</vt:lpstr>
      <vt:lpstr>HDCP_V_A3</vt:lpstr>
      <vt:lpstr>HDCP_V_A4</vt:lpstr>
      <vt:lpstr>HDCP_V_B1</vt:lpstr>
      <vt:lpstr>HDCP_V_B2</vt:lpstr>
      <vt:lpstr>HDCP_V_B3</vt:lpstr>
      <vt:lpstr>HDCP_V_B4</vt:lpstr>
      <vt:lpstr>POINTS_CAP_A</vt:lpstr>
      <vt:lpstr>POINTS_CAP_B</vt:lpstr>
      <vt:lpstr>POINTS_CAP_W</vt:lpstr>
      <vt:lpstr>'Results - S1'!Print_Area</vt:lpstr>
      <vt:lpstr>'Results - S2'!Print_Area</vt:lpstr>
      <vt:lpstr>'Results - S3'!Print_Area</vt:lpstr>
      <vt:lpstr>'Results - S4'!Print_Area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Goddard</dc:creator>
  <cp:lastModifiedBy>David.Goddard</cp:lastModifiedBy>
  <cp:lastPrinted>2026-01-27T09:05:59Z</cp:lastPrinted>
  <dcterms:created xsi:type="dcterms:W3CDTF">2025-02-17T16:56:52Z</dcterms:created>
  <dcterms:modified xsi:type="dcterms:W3CDTF">2026-02-03T09:56:12Z</dcterms:modified>
</cp:coreProperties>
</file>